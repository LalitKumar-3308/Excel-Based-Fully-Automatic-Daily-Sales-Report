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lit\EXCEL\Fully_Automatic_Daily_Sales_Report\"/>
    </mc:Choice>
  </mc:AlternateContent>
  <xr:revisionPtr revIDLastSave="0" documentId="13_ncr:1_{FFCACC7E-0284-422E-BE0D-98CDD6315179}" xr6:coauthVersionLast="47" xr6:coauthVersionMax="47" xr10:uidLastSave="{00000000-0000-0000-0000-000000000000}"/>
  <bookViews>
    <workbookView xWindow="-108" yWindow="-108" windowWidth="23256" windowHeight="12456" activeTab="1" xr2:uid="{15D0567B-8405-4FA8-BFB2-65EF694C67EB}"/>
  </bookViews>
  <sheets>
    <sheet name="Sheet1" sheetId="1" r:id="rId1"/>
    <sheet name="Jan" sheetId="2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  <sheet name="Dec" sheetId="13" r:id="rId13"/>
    <sheet name="Consolidated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13" l="1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H7" i="13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5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5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H7" i="9"/>
  <c r="H8" i="9"/>
  <c r="H9" i="9"/>
  <c r="H10" i="9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5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H7" i="8"/>
  <c r="H8" i="8"/>
  <c r="H9" i="8"/>
  <c r="H10" i="8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5" i="6"/>
  <c r="H7" i="6"/>
  <c r="H8" i="6"/>
  <c r="H9" i="6"/>
  <c r="H10" i="6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5" i="5"/>
  <c r="H7" i="5"/>
  <c r="H8" i="5"/>
  <c r="H9" i="5"/>
  <c r="H10" i="5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5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5" i="3"/>
  <c r="H7" i="3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D29" i="14"/>
  <c r="D30" i="14"/>
  <c r="D28" i="14"/>
  <c r="D27" i="14"/>
  <c r="M8" i="14"/>
  <c r="M12" i="14"/>
  <c r="M16" i="14"/>
  <c r="M20" i="14"/>
  <c r="M24" i="14"/>
  <c r="M28" i="14"/>
  <c r="M32" i="14"/>
  <c r="I6" i="14"/>
  <c r="M6" i="14" s="1"/>
  <c r="J6" i="14"/>
  <c r="K6" i="14" s="1"/>
  <c r="L6" i="14"/>
  <c r="I7" i="14"/>
  <c r="K7" i="14" s="1"/>
  <c r="J7" i="14"/>
  <c r="L7" i="14"/>
  <c r="I8" i="14"/>
  <c r="J8" i="14"/>
  <c r="K8" i="14" s="1"/>
  <c r="L8" i="14"/>
  <c r="I9" i="14"/>
  <c r="K9" i="14" s="1"/>
  <c r="J9" i="14"/>
  <c r="L9" i="14"/>
  <c r="I10" i="14"/>
  <c r="M10" i="14" s="1"/>
  <c r="J10" i="14"/>
  <c r="K10" i="14" s="1"/>
  <c r="L10" i="14"/>
  <c r="I11" i="14"/>
  <c r="K11" i="14" s="1"/>
  <c r="J11" i="14"/>
  <c r="L11" i="14"/>
  <c r="I12" i="14"/>
  <c r="J12" i="14"/>
  <c r="K12" i="14" s="1"/>
  <c r="L12" i="14"/>
  <c r="I13" i="14"/>
  <c r="K13" i="14" s="1"/>
  <c r="J13" i="14"/>
  <c r="L13" i="14"/>
  <c r="I14" i="14"/>
  <c r="M14" i="14" s="1"/>
  <c r="J14" i="14"/>
  <c r="L14" i="14"/>
  <c r="I15" i="14"/>
  <c r="K15" i="14" s="1"/>
  <c r="J15" i="14"/>
  <c r="L15" i="14"/>
  <c r="I16" i="14"/>
  <c r="J16" i="14"/>
  <c r="K16" i="14" s="1"/>
  <c r="L16" i="14"/>
  <c r="I17" i="14"/>
  <c r="K17" i="14" s="1"/>
  <c r="J17" i="14"/>
  <c r="L17" i="14"/>
  <c r="I18" i="14"/>
  <c r="M18" i="14" s="1"/>
  <c r="J18" i="14"/>
  <c r="K18" i="14" s="1"/>
  <c r="L18" i="14"/>
  <c r="I19" i="14"/>
  <c r="K19" i="14" s="1"/>
  <c r="J19" i="14"/>
  <c r="L19" i="14"/>
  <c r="I20" i="14"/>
  <c r="J20" i="14"/>
  <c r="K20" i="14" s="1"/>
  <c r="L20" i="14"/>
  <c r="I21" i="14"/>
  <c r="K21" i="14" s="1"/>
  <c r="J21" i="14"/>
  <c r="L21" i="14"/>
  <c r="I22" i="14"/>
  <c r="M22" i="14" s="1"/>
  <c r="J22" i="14"/>
  <c r="K22" i="14" s="1"/>
  <c r="L22" i="14"/>
  <c r="I23" i="14"/>
  <c r="K23" i="14" s="1"/>
  <c r="J23" i="14"/>
  <c r="L23" i="14"/>
  <c r="I24" i="14"/>
  <c r="J24" i="14"/>
  <c r="K24" i="14" s="1"/>
  <c r="L24" i="14"/>
  <c r="I25" i="14"/>
  <c r="K25" i="14" s="1"/>
  <c r="J25" i="14"/>
  <c r="L25" i="14"/>
  <c r="I26" i="14"/>
  <c r="M26" i="14" s="1"/>
  <c r="J26" i="14"/>
  <c r="K26" i="14" s="1"/>
  <c r="L26" i="14"/>
  <c r="I27" i="14"/>
  <c r="K27" i="14" s="1"/>
  <c r="J27" i="14"/>
  <c r="L27" i="14"/>
  <c r="I28" i="14"/>
  <c r="J28" i="14"/>
  <c r="K28" i="14" s="1"/>
  <c r="L28" i="14"/>
  <c r="I29" i="14"/>
  <c r="K29" i="14" s="1"/>
  <c r="J29" i="14"/>
  <c r="L29" i="14"/>
  <c r="I30" i="14"/>
  <c r="M30" i="14" s="1"/>
  <c r="J30" i="14"/>
  <c r="K30" i="14" s="1"/>
  <c r="L30" i="14"/>
  <c r="I31" i="14"/>
  <c r="K31" i="14" s="1"/>
  <c r="J31" i="14"/>
  <c r="L31" i="14"/>
  <c r="I32" i="14"/>
  <c r="J32" i="14"/>
  <c r="K32" i="14" s="1"/>
  <c r="L32" i="14"/>
  <c r="I33" i="14"/>
  <c r="K33" i="14" s="1"/>
  <c r="J33" i="14"/>
  <c r="L33" i="14"/>
  <c r="I34" i="14"/>
  <c r="M34" i="14" s="1"/>
  <c r="J34" i="14"/>
  <c r="K34" i="14" s="1"/>
  <c r="L34" i="14"/>
  <c r="I35" i="14"/>
  <c r="K35" i="14" s="1"/>
  <c r="J35" i="14"/>
  <c r="L35" i="14"/>
  <c r="J5" i="14"/>
  <c r="L5" i="14"/>
  <c r="I5" i="14"/>
  <c r="K5" i="14" s="1"/>
  <c r="H6" i="14"/>
  <c r="H36" i="14" s="1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5" i="14"/>
  <c r="T36" i="13"/>
  <c r="R36" i="13"/>
  <c r="S36" i="13" s="1"/>
  <c r="Q36" i="13"/>
  <c r="O36" i="13"/>
  <c r="N36" i="13"/>
  <c r="D29" i="13" s="1"/>
  <c r="L36" i="13"/>
  <c r="K36" i="13"/>
  <c r="M36" i="13" s="1"/>
  <c r="V35" i="13"/>
  <c r="U35" i="13"/>
  <c r="X35" i="13" s="1"/>
  <c r="V34" i="13"/>
  <c r="U34" i="13"/>
  <c r="X34" i="13" s="1"/>
  <c r="V33" i="13"/>
  <c r="U33" i="13"/>
  <c r="X33" i="13" s="1"/>
  <c r="X32" i="13"/>
  <c r="V32" i="13"/>
  <c r="U32" i="13"/>
  <c r="W32" i="13" s="1"/>
  <c r="X31" i="13"/>
  <c r="V31" i="13"/>
  <c r="U31" i="13"/>
  <c r="W31" i="13" s="1"/>
  <c r="X30" i="13"/>
  <c r="W30" i="13"/>
  <c r="V30" i="13"/>
  <c r="U30" i="13"/>
  <c r="Y30" i="13" s="1"/>
  <c r="D30" i="13"/>
  <c r="X29" i="13"/>
  <c r="W29" i="13"/>
  <c r="V29" i="13"/>
  <c r="U29" i="13"/>
  <c r="Y29" i="13" s="1"/>
  <c r="X28" i="13"/>
  <c r="W28" i="13"/>
  <c r="V28" i="13"/>
  <c r="U28" i="13"/>
  <c r="Y28" i="13" s="1"/>
  <c r="X27" i="13"/>
  <c r="W27" i="13"/>
  <c r="V27" i="13"/>
  <c r="U27" i="13"/>
  <c r="Y27" i="13" s="1"/>
  <c r="X26" i="13"/>
  <c r="W26" i="13"/>
  <c r="V26" i="13"/>
  <c r="U26" i="13"/>
  <c r="Y26" i="13" s="1"/>
  <c r="V25" i="13"/>
  <c r="W25" i="13" s="1"/>
  <c r="U25" i="13"/>
  <c r="Y25" i="13" s="1"/>
  <c r="V24" i="13"/>
  <c r="W24" i="13" s="1"/>
  <c r="U24" i="13"/>
  <c r="Y24" i="13" s="1"/>
  <c r="Y23" i="13"/>
  <c r="V23" i="13"/>
  <c r="U23" i="13"/>
  <c r="V22" i="13"/>
  <c r="U22" i="13"/>
  <c r="Y22" i="13" s="1"/>
  <c r="X21" i="13"/>
  <c r="V21" i="13"/>
  <c r="U21" i="13"/>
  <c r="W21" i="13" s="1"/>
  <c r="X20" i="13"/>
  <c r="W20" i="13"/>
  <c r="V20" i="13"/>
  <c r="U20" i="13"/>
  <c r="Y20" i="13" s="1"/>
  <c r="X19" i="13"/>
  <c r="W19" i="13"/>
  <c r="V19" i="13"/>
  <c r="U19" i="13"/>
  <c r="Y19" i="13" s="1"/>
  <c r="V18" i="13"/>
  <c r="W18" i="13" s="1"/>
  <c r="U18" i="13"/>
  <c r="Y18" i="13" s="1"/>
  <c r="V17" i="13"/>
  <c r="U17" i="13"/>
  <c r="Y16" i="13"/>
  <c r="V16" i="13"/>
  <c r="U16" i="13"/>
  <c r="X15" i="13"/>
  <c r="V15" i="13"/>
  <c r="U15" i="13"/>
  <c r="W15" i="13" s="1"/>
  <c r="X14" i="13"/>
  <c r="V14" i="13"/>
  <c r="U14" i="13"/>
  <c r="W14" i="13" s="1"/>
  <c r="X13" i="13"/>
  <c r="V13" i="13"/>
  <c r="U13" i="13"/>
  <c r="W13" i="13" s="1"/>
  <c r="X12" i="13"/>
  <c r="W12" i="13"/>
  <c r="V12" i="13"/>
  <c r="U12" i="13"/>
  <c r="Y12" i="13" s="1"/>
  <c r="X11" i="13"/>
  <c r="W11" i="13"/>
  <c r="V11" i="13"/>
  <c r="U11" i="13"/>
  <c r="Y11" i="13" s="1"/>
  <c r="X10" i="13"/>
  <c r="V10" i="13"/>
  <c r="W10" i="13" s="1"/>
  <c r="U10" i="13"/>
  <c r="Y10" i="13" s="1"/>
  <c r="X9" i="13"/>
  <c r="V9" i="13"/>
  <c r="U9" i="13"/>
  <c r="Y9" i="13" s="1"/>
  <c r="V8" i="13"/>
  <c r="U8" i="13"/>
  <c r="D8" i="13"/>
  <c r="H5" i="13" s="1"/>
  <c r="V7" i="13"/>
  <c r="U7" i="13"/>
  <c r="X6" i="13"/>
  <c r="V6" i="13"/>
  <c r="U6" i="13"/>
  <c r="W6" i="13" s="1"/>
  <c r="X5" i="13"/>
  <c r="W5" i="13"/>
  <c r="V5" i="13"/>
  <c r="U5" i="13"/>
  <c r="S5" i="13"/>
  <c r="P5" i="13"/>
  <c r="T36" i="12"/>
  <c r="R36" i="12"/>
  <c r="S36" i="12" s="1"/>
  <c r="Q36" i="12"/>
  <c r="O36" i="12"/>
  <c r="N36" i="12"/>
  <c r="D29" i="12" s="1"/>
  <c r="L36" i="12"/>
  <c r="K36" i="12"/>
  <c r="M36" i="12" s="1"/>
  <c r="V35" i="12"/>
  <c r="U35" i="12"/>
  <c r="X35" i="12" s="1"/>
  <c r="V34" i="12"/>
  <c r="U34" i="12"/>
  <c r="X34" i="12" s="1"/>
  <c r="V33" i="12"/>
  <c r="U33" i="12"/>
  <c r="X33" i="12" s="1"/>
  <c r="X32" i="12"/>
  <c r="V32" i="12"/>
  <c r="U32" i="12"/>
  <c r="W32" i="12" s="1"/>
  <c r="X31" i="12"/>
  <c r="V31" i="12"/>
  <c r="U31" i="12"/>
  <c r="W31" i="12" s="1"/>
  <c r="X30" i="12"/>
  <c r="W30" i="12"/>
  <c r="V30" i="12"/>
  <c r="U30" i="12"/>
  <c r="Y30" i="12" s="1"/>
  <c r="D30" i="12"/>
  <c r="X29" i="12"/>
  <c r="W29" i="12"/>
  <c r="V29" i="12"/>
  <c r="U29" i="12"/>
  <c r="Y29" i="12" s="1"/>
  <c r="X28" i="12"/>
  <c r="W28" i="12"/>
  <c r="V28" i="12"/>
  <c r="U28" i="12"/>
  <c r="Y28" i="12" s="1"/>
  <c r="X27" i="12"/>
  <c r="W27" i="12"/>
  <c r="V27" i="12"/>
  <c r="U27" i="12"/>
  <c r="Y27" i="12" s="1"/>
  <c r="X26" i="12"/>
  <c r="W26" i="12"/>
  <c r="V26" i="12"/>
  <c r="U26" i="12"/>
  <c r="Y26" i="12" s="1"/>
  <c r="V25" i="12"/>
  <c r="W25" i="12" s="1"/>
  <c r="U25" i="12"/>
  <c r="Y25" i="12" s="1"/>
  <c r="V24" i="12"/>
  <c r="W24" i="12" s="1"/>
  <c r="U24" i="12"/>
  <c r="Y24" i="12" s="1"/>
  <c r="V23" i="12"/>
  <c r="U23" i="12"/>
  <c r="Y22" i="12"/>
  <c r="V22" i="12"/>
  <c r="U22" i="12"/>
  <c r="X21" i="12"/>
  <c r="V21" i="12"/>
  <c r="U21" i="12"/>
  <c r="W21" i="12" s="1"/>
  <c r="X20" i="12"/>
  <c r="W20" i="12"/>
  <c r="V20" i="12"/>
  <c r="U20" i="12"/>
  <c r="Y20" i="12" s="1"/>
  <c r="X19" i="12"/>
  <c r="W19" i="12"/>
  <c r="V19" i="12"/>
  <c r="U19" i="12"/>
  <c r="Y19" i="12" s="1"/>
  <c r="V18" i="12"/>
  <c r="W18" i="12" s="1"/>
  <c r="U18" i="12"/>
  <c r="Y18" i="12" s="1"/>
  <c r="V17" i="12"/>
  <c r="U17" i="12"/>
  <c r="Y17" i="12" s="1"/>
  <c r="V16" i="12"/>
  <c r="U16" i="12"/>
  <c r="X15" i="12"/>
  <c r="V15" i="12"/>
  <c r="U15" i="12"/>
  <c r="W15" i="12" s="1"/>
  <c r="X14" i="12"/>
  <c r="V14" i="12"/>
  <c r="U14" i="12"/>
  <c r="W14" i="12" s="1"/>
  <c r="X13" i="12"/>
  <c r="V13" i="12"/>
  <c r="U13" i="12"/>
  <c r="W13" i="12" s="1"/>
  <c r="X12" i="12"/>
  <c r="W12" i="12"/>
  <c r="V12" i="12"/>
  <c r="U12" i="12"/>
  <c r="Y12" i="12" s="1"/>
  <c r="X11" i="12"/>
  <c r="W11" i="12"/>
  <c r="V11" i="12"/>
  <c r="U11" i="12"/>
  <c r="Y11" i="12" s="1"/>
  <c r="X10" i="12"/>
  <c r="V10" i="12"/>
  <c r="W10" i="12" s="1"/>
  <c r="U10" i="12"/>
  <c r="Y10" i="12" s="1"/>
  <c r="X9" i="12"/>
  <c r="V9" i="12"/>
  <c r="U9" i="12"/>
  <c r="Y9" i="12" s="1"/>
  <c r="V8" i="12"/>
  <c r="U8" i="12"/>
  <c r="D8" i="12"/>
  <c r="H5" i="12" s="1"/>
  <c r="V7" i="12"/>
  <c r="U7" i="12"/>
  <c r="X6" i="12"/>
  <c r="V6" i="12"/>
  <c r="U6" i="12"/>
  <c r="W6" i="12" s="1"/>
  <c r="X5" i="12"/>
  <c r="W5" i="12"/>
  <c r="V5" i="12"/>
  <c r="U5" i="12"/>
  <c r="S5" i="12"/>
  <c r="P5" i="12"/>
  <c r="T36" i="11"/>
  <c r="R36" i="11"/>
  <c r="Q36" i="11"/>
  <c r="S36" i="11" s="1"/>
  <c r="O36" i="11"/>
  <c r="N36" i="11"/>
  <c r="P36" i="11" s="1"/>
  <c r="M36" i="11"/>
  <c r="L36" i="11"/>
  <c r="K36" i="11"/>
  <c r="Y35" i="11"/>
  <c r="V35" i="11"/>
  <c r="U35" i="11"/>
  <c r="W35" i="11" s="1"/>
  <c r="V34" i="11"/>
  <c r="U34" i="11"/>
  <c r="W34" i="11" s="1"/>
  <c r="Y33" i="11"/>
  <c r="X33" i="11"/>
  <c r="V33" i="11"/>
  <c r="U33" i="11"/>
  <c r="W33" i="11" s="1"/>
  <c r="X32" i="11"/>
  <c r="W32" i="11"/>
  <c r="V32" i="11"/>
  <c r="U32" i="11"/>
  <c r="Y32" i="11" s="1"/>
  <c r="X31" i="11"/>
  <c r="W31" i="11"/>
  <c r="V31" i="11"/>
  <c r="U31" i="11"/>
  <c r="Y31" i="11" s="1"/>
  <c r="X30" i="11"/>
  <c r="V30" i="11"/>
  <c r="W30" i="11" s="1"/>
  <c r="U30" i="11"/>
  <c r="Y30" i="11" s="1"/>
  <c r="X29" i="11"/>
  <c r="V29" i="11"/>
  <c r="W29" i="11" s="1"/>
  <c r="U29" i="11"/>
  <c r="Y29" i="11" s="1"/>
  <c r="X28" i="11"/>
  <c r="W28" i="11"/>
  <c r="V28" i="11"/>
  <c r="U28" i="11"/>
  <c r="Y28" i="11" s="1"/>
  <c r="D28" i="11"/>
  <c r="X27" i="11"/>
  <c r="V27" i="11"/>
  <c r="W27" i="11" s="1"/>
  <c r="U27" i="11"/>
  <c r="Y27" i="11" s="1"/>
  <c r="X26" i="11"/>
  <c r="V26" i="11"/>
  <c r="W26" i="11" s="1"/>
  <c r="U26" i="11"/>
  <c r="Y26" i="11" s="1"/>
  <c r="V25" i="11"/>
  <c r="U25" i="11"/>
  <c r="V24" i="11"/>
  <c r="U24" i="11"/>
  <c r="Y23" i="11"/>
  <c r="V23" i="11"/>
  <c r="U23" i="11"/>
  <c r="W23" i="11" s="1"/>
  <c r="V22" i="11"/>
  <c r="U22" i="11"/>
  <c r="W22" i="11" s="1"/>
  <c r="X21" i="11"/>
  <c r="W21" i="11"/>
  <c r="V21" i="11"/>
  <c r="U21" i="11"/>
  <c r="Y21" i="11" s="1"/>
  <c r="X20" i="11"/>
  <c r="W20" i="11"/>
  <c r="V20" i="11"/>
  <c r="U20" i="11"/>
  <c r="Y20" i="11" s="1"/>
  <c r="X19" i="11"/>
  <c r="V19" i="11"/>
  <c r="W19" i="11" s="1"/>
  <c r="U19" i="11"/>
  <c r="Y19" i="11" s="1"/>
  <c r="Y18" i="11"/>
  <c r="V18" i="11"/>
  <c r="U18" i="11"/>
  <c r="Y17" i="11"/>
  <c r="X17" i="11"/>
  <c r="V17" i="11"/>
  <c r="U17" i="11"/>
  <c r="W17" i="11" s="1"/>
  <c r="Y16" i="11"/>
  <c r="V16" i="11"/>
  <c r="U16" i="11"/>
  <c r="W16" i="11" s="1"/>
  <c r="X15" i="11"/>
  <c r="W15" i="11"/>
  <c r="V15" i="11"/>
  <c r="U15" i="11"/>
  <c r="Y15" i="11" s="1"/>
  <c r="X14" i="11"/>
  <c r="W14" i="11"/>
  <c r="V14" i="11"/>
  <c r="U14" i="11"/>
  <c r="Y14" i="11" s="1"/>
  <c r="X13" i="11"/>
  <c r="W13" i="11"/>
  <c r="V13" i="11"/>
  <c r="U13" i="11"/>
  <c r="Y13" i="11" s="1"/>
  <c r="X12" i="11"/>
  <c r="V12" i="11"/>
  <c r="W12" i="11" s="1"/>
  <c r="U12" i="11"/>
  <c r="Y12" i="11" s="1"/>
  <c r="X11" i="11"/>
  <c r="V11" i="11"/>
  <c r="W11" i="11" s="1"/>
  <c r="U11" i="11"/>
  <c r="Y11" i="11" s="1"/>
  <c r="Y10" i="11"/>
  <c r="V10" i="11"/>
  <c r="W10" i="11" s="1"/>
  <c r="U10" i="11"/>
  <c r="X10" i="11" s="1"/>
  <c r="Y9" i="11"/>
  <c r="V9" i="11"/>
  <c r="U9" i="11"/>
  <c r="X9" i="11" s="1"/>
  <c r="V8" i="11"/>
  <c r="V36" i="11" s="1"/>
  <c r="U8" i="11"/>
  <c r="W8" i="11" s="1"/>
  <c r="D8" i="11"/>
  <c r="H5" i="11" s="1"/>
  <c r="Y7" i="11"/>
  <c r="X7" i="11"/>
  <c r="V7" i="11"/>
  <c r="U7" i="11"/>
  <c r="W7" i="11" s="1"/>
  <c r="V6" i="11"/>
  <c r="U6" i="11"/>
  <c r="D17" i="11" s="1"/>
  <c r="X5" i="11"/>
  <c r="W5" i="11"/>
  <c r="V5" i="11"/>
  <c r="U5" i="11"/>
  <c r="Y5" i="11" s="1"/>
  <c r="S5" i="11"/>
  <c r="P5" i="11"/>
  <c r="T36" i="10"/>
  <c r="R36" i="10"/>
  <c r="Q36" i="10"/>
  <c r="S36" i="10" s="1"/>
  <c r="O36" i="10"/>
  <c r="N36" i="10"/>
  <c r="D29" i="10" s="1"/>
  <c r="L36" i="10"/>
  <c r="M36" i="10" s="1"/>
  <c r="K36" i="10"/>
  <c r="V35" i="10"/>
  <c r="U35" i="10"/>
  <c r="X35" i="10" s="1"/>
  <c r="V34" i="10"/>
  <c r="U34" i="10"/>
  <c r="X34" i="10" s="1"/>
  <c r="V33" i="10"/>
  <c r="U33" i="10"/>
  <c r="X33" i="10" s="1"/>
  <c r="X32" i="10"/>
  <c r="V32" i="10"/>
  <c r="U32" i="10"/>
  <c r="W32" i="10" s="1"/>
  <c r="X31" i="10"/>
  <c r="V31" i="10"/>
  <c r="U31" i="10"/>
  <c r="W31" i="10" s="1"/>
  <c r="W30" i="10"/>
  <c r="V30" i="10"/>
  <c r="U30" i="10"/>
  <c r="Y30" i="10" s="1"/>
  <c r="D30" i="10"/>
  <c r="W29" i="10"/>
  <c r="V29" i="10"/>
  <c r="U29" i="10"/>
  <c r="Y29" i="10" s="1"/>
  <c r="W28" i="10"/>
  <c r="V28" i="10"/>
  <c r="U28" i="10"/>
  <c r="Y28" i="10" s="1"/>
  <c r="D28" i="10"/>
  <c r="W27" i="10"/>
  <c r="V27" i="10"/>
  <c r="U27" i="10"/>
  <c r="Y27" i="10" s="1"/>
  <c r="W26" i="10"/>
  <c r="V26" i="10"/>
  <c r="U26" i="10"/>
  <c r="Y26" i="10" s="1"/>
  <c r="V25" i="10"/>
  <c r="U25" i="10"/>
  <c r="Y25" i="10" s="1"/>
  <c r="V24" i="10"/>
  <c r="U24" i="10"/>
  <c r="Y24" i="10" s="1"/>
  <c r="V23" i="10"/>
  <c r="U23" i="10"/>
  <c r="X23" i="10" s="1"/>
  <c r="V22" i="10"/>
  <c r="U22" i="10"/>
  <c r="X22" i="10" s="1"/>
  <c r="X21" i="10"/>
  <c r="W21" i="10"/>
  <c r="V21" i="10"/>
  <c r="U21" i="10"/>
  <c r="Y21" i="10" s="1"/>
  <c r="W20" i="10"/>
  <c r="V20" i="10"/>
  <c r="U20" i="10"/>
  <c r="Y20" i="10" s="1"/>
  <c r="W19" i="10"/>
  <c r="V19" i="10"/>
  <c r="U19" i="10"/>
  <c r="Y19" i="10" s="1"/>
  <c r="V18" i="10"/>
  <c r="U18" i="10"/>
  <c r="Y18" i="10" s="1"/>
  <c r="V17" i="10"/>
  <c r="U17" i="10"/>
  <c r="X17" i="10" s="1"/>
  <c r="V16" i="10"/>
  <c r="U16" i="10"/>
  <c r="X16" i="10" s="1"/>
  <c r="X15" i="10"/>
  <c r="W15" i="10"/>
  <c r="V15" i="10"/>
  <c r="U15" i="10"/>
  <c r="Y15" i="10" s="1"/>
  <c r="X14" i="10"/>
  <c r="V14" i="10"/>
  <c r="W14" i="10" s="1"/>
  <c r="U14" i="10"/>
  <c r="Y14" i="10" s="1"/>
  <c r="X13" i="10"/>
  <c r="V13" i="10"/>
  <c r="W13" i="10" s="1"/>
  <c r="U13" i="10"/>
  <c r="Y13" i="10" s="1"/>
  <c r="W12" i="10"/>
  <c r="V12" i="10"/>
  <c r="U12" i="10"/>
  <c r="Y12" i="10" s="1"/>
  <c r="W11" i="10"/>
  <c r="V11" i="10"/>
  <c r="U11" i="10"/>
  <c r="Y11" i="10" s="1"/>
  <c r="X10" i="10"/>
  <c r="V10" i="10"/>
  <c r="U10" i="10"/>
  <c r="Y10" i="10" s="1"/>
  <c r="X9" i="10"/>
  <c r="V9" i="10"/>
  <c r="V36" i="10" s="1"/>
  <c r="U9" i="10"/>
  <c r="Y9" i="10" s="1"/>
  <c r="V8" i="10"/>
  <c r="U8" i="10"/>
  <c r="D8" i="10"/>
  <c r="D10" i="10" s="1"/>
  <c r="V7" i="10"/>
  <c r="U7" i="10"/>
  <c r="X7" i="10" s="1"/>
  <c r="X6" i="10"/>
  <c r="V6" i="10"/>
  <c r="U6" i="10"/>
  <c r="W6" i="10" s="1"/>
  <c r="W5" i="10"/>
  <c r="V5" i="10"/>
  <c r="U5" i="10"/>
  <c r="U36" i="10" s="1"/>
  <c r="S5" i="10"/>
  <c r="P5" i="10"/>
  <c r="H5" i="10"/>
  <c r="I5" i="10" s="1"/>
  <c r="T36" i="9"/>
  <c r="R36" i="9"/>
  <c r="S36" i="9" s="1"/>
  <c r="Q36" i="9"/>
  <c r="O36" i="9"/>
  <c r="N36" i="9"/>
  <c r="D29" i="9" s="1"/>
  <c r="L36" i="9"/>
  <c r="K36" i="9"/>
  <c r="M36" i="9" s="1"/>
  <c r="V35" i="9"/>
  <c r="U35" i="9"/>
  <c r="X35" i="9" s="1"/>
  <c r="V34" i="9"/>
  <c r="U34" i="9"/>
  <c r="X34" i="9" s="1"/>
  <c r="V33" i="9"/>
  <c r="U33" i="9"/>
  <c r="X33" i="9" s="1"/>
  <c r="X32" i="9"/>
  <c r="V32" i="9"/>
  <c r="U32" i="9"/>
  <c r="W32" i="9" s="1"/>
  <c r="X31" i="9"/>
  <c r="V31" i="9"/>
  <c r="U31" i="9"/>
  <c r="W31" i="9" s="1"/>
  <c r="X30" i="9"/>
  <c r="W30" i="9"/>
  <c r="V30" i="9"/>
  <c r="U30" i="9"/>
  <c r="Y30" i="9" s="1"/>
  <c r="D30" i="9"/>
  <c r="X29" i="9"/>
  <c r="W29" i="9"/>
  <c r="V29" i="9"/>
  <c r="U29" i="9"/>
  <c r="Y29" i="9" s="1"/>
  <c r="X28" i="9"/>
  <c r="W28" i="9"/>
  <c r="V28" i="9"/>
  <c r="U28" i="9"/>
  <c r="Y28" i="9" s="1"/>
  <c r="X27" i="9"/>
  <c r="W27" i="9"/>
  <c r="V27" i="9"/>
  <c r="U27" i="9"/>
  <c r="Y27" i="9" s="1"/>
  <c r="X26" i="9"/>
  <c r="W26" i="9"/>
  <c r="V26" i="9"/>
  <c r="U26" i="9"/>
  <c r="Y26" i="9" s="1"/>
  <c r="V25" i="9"/>
  <c r="W25" i="9" s="1"/>
  <c r="U25" i="9"/>
  <c r="Y25" i="9" s="1"/>
  <c r="V24" i="9"/>
  <c r="W24" i="9" s="1"/>
  <c r="U24" i="9"/>
  <c r="Y24" i="9" s="1"/>
  <c r="Y23" i="9"/>
  <c r="V23" i="9"/>
  <c r="U23" i="9"/>
  <c r="V22" i="9"/>
  <c r="U22" i="9"/>
  <c r="X21" i="9"/>
  <c r="V21" i="9"/>
  <c r="U21" i="9"/>
  <c r="W21" i="9" s="1"/>
  <c r="X20" i="9"/>
  <c r="W20" i="9"/>
  <c r="V20" i="9"/>
  <c r="U20" i="9"/>
  <c r="Y20" i="9" s="1"/>
  <c r="X19" i="9"/>
  <c r="W19" i="9"/>
  <c r="V19" i="9"/>
  <c r="U19" i="9"/>
  <c r="Y19" i="9" s="1"/>
  <c r="V18" i="9"/>
  <c r="W18" i="9" s="1"/>
  <c r="U18" i="9"/>
  <c r="Y18" i="9" s="1"/>
  <c r="V17" i="9"/>
  <c r="U17" i="9"/>
  <c r="Y16" i="9"/>
  <c r="V16" i="9"/>
  <c r="U16" i="9"/>
  <c r="X15" i="9"/>
  <c r="V15" i="9"/>
  <c r="U15" i="9"/>
  <c r="W15" i="9" s="1"/>
  <c r="X14" i="9"/>
  <c r="V14" i="9"/>
  <c r="U14" i="9"/>
  <c r="W14" i="9" s="1"/>
  <c r="X13" i="9"/>
  <c r="V13" i="9"/>
  <c r="U13" i="9"/>
  <c r="W13" i="9" s="1"/>
  <c r="X12" i="9"/>
  <c r="W12" i="9"/>
  <c r="V12" i="9"/>
  <c r="U12" i="9"/>
  <c r="Y12" i="9" s="1"/>
  <c r="X11" i="9"/>
  <c r="W11" i="9"/>
  <c r="V11" i="9"/>
  <c r="U11" i="9"/>
  <c r="Y11" i="9" s="1"/>
  <c r="X10" i="9"/>
  <c r="V10" i="9"/>
  <c r="W10" i="9" s="1"/>
  <c r="U10" i="9"/>
  <c r="Y10" i="9" s="1"/>
  <c r="X9" i="9"/>
  <c r="V9" i="9"/>
  <c r="U9" i="9"/>
  <c r="Y9" i="9" s="1"/>
  <c r="V8" i="9"/>
  <c r="U8" i="9"/>
  <c r="D8" i="9"/>
  <c r="H5" i="9" s="1"/>
  <c r="V7" i="9"/>
  <c r="U7" i="9"/>
  <c r="X6" i="9"/>
  <c r="V6" i="9"/>
  <c r="U6" i="9"/>
  <c r="W6" i="9" s="1"/>
  <c r="X5" i="9"/>
  <c r="W5" i="9"/>
  <c r="V5" i="9"/>
  <c r="U5" i="9"/>
  <c r="S5" i="9"/>
  <c r="P5" i="9"/>
  <c r="T36" i="8"/>
  <c r="R36" i="8"/>
  <c r="S36" i="8" s="1"/>
  <c r="Q36" i="8"/>
  <c r="O36" i="8"/>
  <c r="N36" i="8"/>
  <c r="D29" i="8" s="1"/>
  <c r="L36" i="8"/>
  <c r="K36" i="8"/>
  <c r="M36" i="8" s="1"/>
  <c r="V35" i="8"/>
  <c r="U35" i="8"/>
  <c r="X35" i="8" s="1"/>
  <c r="V34" i="8"/>
  <c r="U34" i="8"/>
  <c r="X34" i="8" s="1"/>
  <c r="V33" i="8"/>
  <c r="U33" i="8"/>
  <c r="X33" i="8" s="1"/>
  <c r="X32" i="8"/>
  <c r="V32" i="8"/>
  <c r="U32" i="8"/>
  <c r="W32" i="8" s="1"/>
  <c r="X31" i="8"/>
  <c r="V31" i="8"/>
  <c r="U31" i="8"/>
  <c r="W31" i="8" s="1"/>
  <c r="X30" i="8"/>
  <c r="W30" i="8"/>
  <c r="V30" i="8"/>
  <c r="U30" i="8"/>
  <c r="Y30" i="8" s="1"/>
  <c r="D30" i="8"/>
  <c r="X29" i="8"/>
  <c r="W29" i="8"/>
  <c r="V29" i="8"/>
  <c r="U29" i="8"/>
  <c r="Y29" i="8" s="1"/>
  <c r="X28" i="8"/>
  <c r="W28" i="8"/>
  <c r="V28" i="8"/>
  <c r="U28" i="8"/>
  <c r="Y28" i="8" s="1"/>
  <c r="X27" i="8"/>
  <c r="W27" i="8"/>
  <c r="V27" i="8"/>
  <c r="U27" i="8"/>
  <c r="Y27" i="8" s="1"/>
  <c r="X26" i="8"/>
  <c r="W26" i="8"/>
  <c r="V26" i="8"/>
  <c r="U26" i="8"/>
  <c r="Y26" i="8" s="1"/>
  <c r="V25" i="8"/>
  <c r="W25" i="8" s="1"/>
  <c r="U25" i="8"/>
  <c r="Y25" i="8" s="1"/>
  <c r="V24" i="8"/>
  <c r="W24" i="8" s="1"/>
  <c r="U24" i="8"/>
  <c r="Y24" i="8" s="1"/>
  <c r="Y23" i="8"/>
  <c r="V23" i="8"/>
  <c r="U23" i="8"/>
  <c r="V22" i="8"/>
  <c r="U22" i="8"/>
  <c r="Y22" i="8" s="1"/>
  <c r="X21" i="8"/>
  <c r="V21" i="8"/>
  <c r="U21" i="8"/>
  <c r="W21" i="8" s="1"/>
  <c r="X20" i="8"/>
  <c r="W20" i="8"/>
  <c r="V20" i="8"/>
  <c r="U20" i="8"/>
  <c r="Y20" i="8" s="1"/>
  <c r="X19" i="8"/>
  <c r="W19" i="8"/>
  <c r="V19" i="8"/>
  <c r="U19" i="8"/>
  <c r="Y19" i="8" s="1"/>
  <c r="V18" i="8"/>
  <c r="W18" i="8" s="1"/>
  <c r="U18" i="8"/>
  <c r="Y18" i="8" s="1"/>
  <c r="V17" i="8"/>
  <c r="U17" i="8"/>
  <c r="Y16" i="8"/>
  <c r="V16" i="8"/>
  <c r="U16" i="8"/>
  <c r="X15" i="8"/>
  <c r="V15" i="8"/>
  <c r="U15" i="8"/>
  <c r="W15" i="8" s="1"/>
  <c r="X14" i="8"/>
  <c r="V14" i="8"/>
  <c r="U14" i="8"/>
  <c r="W14" i="8" s="1"/>
  <c r="X13" i="8"/>
  <c r="V13" i="8"/>
  <c r="U13" i="8"/>
  <c r="W13" i="8" s="1"/>
  <c r="X12" i="8"/>
  <c r="W12" i="8"/>
  <c r="V12" i="8"/>
  <c r="U12" i="8"/>
  <c r="Y12" i="8" s="1"/>
  <c r="X11" i="8"/>
  <c r="W11" i="8"/>
  <c r="V11" i="8"/>
  <c r="U11" i="8"/>
  <c r="Y11" i="8" s="1"/>
  <c r="X10" i="8"/>
  <c r="V10" i="8"/>
  <c r="W10" i="8" s="1"/>
  <c r="U10" i="8"/>
  <c r="Y10" i="8" s="1"/>
  <c r="X9" i="8"/>
  <c r="V9" i="8"/>
  <c r="U9" i="8"/>
  <c r="Y9" i="8" s="1"/>
  <c r="V8" i="8"/>
  <c r="U8" i="8"/>
  <c r="D8" i="8"/>
  <c r="H5" i="8" s="1"/>
  <c r="V7" i="8"/>
  <c r="U7" i="8"/>
  <c r="X6" i="8"/>
  <c r="V6" i="8"/>
  <c r="U6" i="8"/>
  <c r="W6" i="8" s="1"/>
  <c r="X5" i="8"/>
  <c r="W5" i="8"/>
  <c r="V5" i="8"/>
  <c r="U5" i="8"/>
  <c r="S5" i="8"/>
  <c r="P5" i="8"/>
  <c r="T36" i="7"/>
  <c r="R36" i="7"/>
  <c r="S36" i="7" s="1"/>
  <c r="Q36" i="7"/>
  <c r="O36" i="7"/>
  <c r="N36" i="7"/>
  <c r="D29" i="7" s="1"/>
  <c r="L36" i="7"/>
  <c r="K36" i="7"/>
  <c r="M36" i="7" s="1"/>
  <c r="V35" i="7"/>
  <c r="U35" i="7"/>
  <c r="X35" i="7" s="1"/>
  <c r="V34" i="7"/>
  <c r="U34" i="7"/>
  <c r="X34" i="7" s="1"/>
  <c r="V33" i="7"/>
  <c r="U33" i="7"/>
  <c r="X33" i="7" s="1"/>
  <c r="X32" i="7"/>
  <c r="V32" i="7"/>
  <c r="U32" i="7"/>
  <c r="W32" i="7" s="1"/>
  <c r="X31" i="7"/>
  <c r="V31" i="7"/>
  <c r="U31" i="7"/>
  <c r="W31" i="7" s="1"/>
  <c r="X30" i="7"/>
  <c r="W30" i="7"/>
  <c r="V30" i="7"/>
  <c r="U30" i="7"/>
  <c r="Y30" i="7" s="1"/>
  <c r="D30" i="7"/>
  <c r="X29" i="7"/>
  <c r="W29" i="7"/>
  <c r="V29" i="7"/>
  <c r="U29" i="7"/>
  <c r="Y29" i="7" s="1"/>
  <c r="X28" i="7"/>
  <c r="W28" i="7"/>
  <c r="V28" i="7"/>
  <c r="U28" i="7"/>
  <c r="Y28" i="7" s="1"/>
  <c r="X27" i="7"/>
  <c r="W27" i="7"/>
  <c r="V27" i="7"/>
  <c r="U27" i="7"/>
  <c r="Y27" i="7" s="1"/>
  <c r="X26" i="7"/>
  <c r="W26" i="7"/>
  <c r="V26" i="7"/>
  <c r="U26" i="7"/>
  <c r="Y26" i="7" s="1"/>
  <c r="V25" i="7"/>
  <c r="W25" i="7" s="1"/>
  <c r="U25" i="7"/>
  <c r="Y25" i="7" s="1"/>
  <c r="V24" i="7"/>
  <c r="W24" i="7" s="1"/>
  <c r="U24" i="7"/>
  <c r="Y24" i="7" s="1"/>
  <c r="V23" i="7"/>
  <c r="U23" i="7"/>
  <c r="Y22" i="7"/>
  <c r="V22" i="7"/>
  <c r="U22" i="7"/>
  <c r="X21" i="7"/>
  <c r="V21" i="7"/>
  <c r="U21" i="7"/>
  <c r="W21" i="7" s="1"/>
  <c r="X20" i="7"/>
  <c r="W20" i="7"/>
  <c r="V20" i="7"/>
  <c r="U20" i="7"/>
  <c r="Y20" i="7" s="1"/>
  <c r="X19" i="7"/>
  <c r="W19" i="7"/>
  <c r="V19" i="7"/>
  <c r="U19" i="7"/>
  <c r="Y19" i="7" s="1"/>
  <c r="V18" i="7"/>
  <c r="W18" i="7" s="1"/>
  <c r="U18" i="7"/>
  <c r="Y18" i="7" s="1"/>
  <c r="V17" i="7"/>
  <c r="U17" i="7"/>
  <c r="V16" i="7"/>
  <c r="U16" i="7"/>
  <c r="X15" i="7"/>
  <c r="V15" i="7"/>
  <c r="U15" i="7"/>
  <c r="W15" i="7" s="1"/>
  <c r="X14" i="7"/>
  <c r="V14" i="7"/>
  <c r="U14" i="7"/>
  <c r="W14" i="7" s="1"/>
  <c r="X13" i="7"/>
  <c r="V13" i="7"/>
  <c r="U13" i="7"/>
  <c r="W13" i="7" s="1"/>
  <c r="X12" i="7"/>
  <c r="W12" i="7"/>
  <c r="V12" i="7"/>
  <c r="U12" i="7"/>
  <c r="Y12" i="7" s="1"/>
  <c r="X11" i="7"/>
  <c r="W11" i="7"/>
  <c r="V11" i="7"/>
  <c r="U11" i="7"/>
  <c r="Y11" i="7" s="1"/>
  <c r="X10" i="7"/>
  <c r="V10" i="7"/>
  <c r="W10" i="7" s="1"/>
  <c r="U10" i="7"/>
  <c r="Y10" i="7" s="1"/>
  <c r="X9" i="7"/>
  <c r="V9" i="7"/>
  <c r="U9" i="7"/>
  <c r="Y9" i="7" s="1"/>
  <c r="V8" i="7"/>
  <c r="U8" i="7"/>
  <c r="D8" i="7"/>
  <c r="H5" i="7" s="1"/>
  <c r="V7" i="7"/>
  <c r="U7" i="7"/>
  <c r="X6" i="7"/>
  <c r="V6" i="7"/>
  <c r="U6" i="7"/>
  <c r="W6" i="7" s="1"/>
  <c r="X5" i="7"/>
  <c r="W5" i="7"/>
  <c r="V5" i="7"/>
  <c r="U5" i="7"/>
  <c r="S5" i="7"/>
  <c r="P5" i="7"/>
  <c r="T36" i="6"/>
  <c r="R36" i="6"/>
  <c r="Q36" i="6"/>
  <c r="S36" i="6" s="1"/>
  <c r="O36" i="6"/>
  <c r="N36" i="6"/>
  <c r="D29" i="6" s="1"/>
  <c r="L36" i="6"/>
  <c r="M36" i="6" s="1"/>
  <c r="K36" i="6"/>
  <c r="V35" i="6"/>
  <c r="U35" i="6"/>
  <c r="X35" i="6" s="1"/>
  <c r="V34" i="6"/>
  <c r="U34" i="6"/>
  <c r="X34" i="6" s="1"/>
  <c r="V33" i="6"/>
  <c r="U33" i="6"/>
  <c r="X33" i="6" s="1"/>
  <c r="X32" i="6"/>
  <c r="V32" i="6"/>
  <c r="U32" i="6"/>
  <c r="W32" i="6" s="1"/>
  <c r="X31" i="6"/>
  <c r="V31" i="6"/>
  <c r="W31" i="6" s="1"/>
  <c r="U31" i="6"/>
  <c r="Y31" i="6" s="1"/>
  <c r="W30" i="6"/>
  <c r="V30" i="6"/>
  <c r="U30" i="6"/>
  <c r="Y30" i="6" s="1"/>
  <c r="D30" i="6"/>
  <c r="W29" i="6"/>
  <c r="V29" i="6"/>
  <c r="U29" i="6"/>
  <c r="Y29" i="6" s="1"/>
  <c r="W28" i="6"/>
  <c r="V28" i="6"/>
  <c r="U28" i="6"/>
  <c r="Y28" i="6" s="1"/>
  <c r="D28" i="6"/>
  <c r="D32" i="6" s="1"/>
  <c r="W27" i="6"/>
  <c r="V27" i="6"/>
  <c r="U27" i="6"/>
  <c r="Y27" i="6" s="1"/>
  <c r="W26" i="6"/>
  <c r="V26" i="6"/>
  <c r="U26" i="6"/>
  <c r="Y26" i="6" s="1"/>
  <c r="V25" i="6"/>
  <c r="U25" i="6"/>
  <c r="Y25" i="6" s="1"/>
  <c r="V24" i="6"/>
  <c r="U24" i="6"/>
  <c r="Y24" i="6" s="1"/>
  <c r="V23" i="6"/>
  <c r="U23" i="6"/>
  <c r="X23" i="6" s="1"/>
  <c r="V22" i="6"/>
  <c r="U22" i="6"/>
  <c r="X22" i="6" s="1"/>
  <c r="X21" i="6"/>
  <c r="W21" i="6"/>
  <c r="V21" i="6"/>
  <c r="U21" i="6"/>
  <c r="Y21" i="6" s="1"/>
  <c r="X20" i="6"/>
  <c r="W20" i="6"/>
  <c r="V20" i="6"/>
  <c r="U20" i="6"/>
  <c r="Y20" i="6" s="1"/>
  <c r="X19" i="6"/>
  <c r="W19" i="6"/>
  <c r="V19" i="6"/>
  <c r="U19" i="6"/>
  <c r="Y19" i="6" s="1"/>
  <c r="V18" i="6"/>
  <c r="U18" i="6"/>
  <c r="Y18" i="6" s="1"/>
  <c r="V17" i="6"/>
  <c r="U17" i="6"/>
  <c r="X17" i="6" s="1"/>
  <c r="V16" i="6"/>
  <c r="U16" i="6"/>
  <c r="X16" i="6" s="1"/>
  <c r="X15" i="6"/>
  <c r="W15" i="6"/>
  <c r="V15" i="6"/>
  <c r="U15" i="6"/>
  <c r="Y15" i="6" s="1"/>
  <c r="X14" i="6"/>
  <c r="V14" i="6"/>
  <c r="W14" i="6" s="1"/>
  <c r="U14" i="6"/>
  <c r="Y14" i="6" s="1"/>
  <c r="X13" i="6"/>
  <c r="V13" i="6"/>
  <c r="W13" i="6" s="1"/>
  <c r="U13" i="6"/>
  <c r="Y13" i="6" s="1"/>
  <c r="W12" i="6"/>
  <c r="V12" i="6"/>
  <c r="U12" i="6"/>
  <c r="Y12" i="6" s="1"/>
  <c r="W11" i="6"/>
  <c r="V11" i="6"/>
  <c r="U11" i="6"/>
  <c r="Y11" i="6" s="1"/>
  <c r="X10" i="6"/>
  <c r="V10" i="6"/>
  <c r="U10" i="6"/>
  <c r="Y10" i="6" s="1"/>
  <c r="X9" i="6"/>
  <c r="V9" i="6"/>
  <c r="V36" i="6" s="1"/>
  <c r="U9" i="6"/>
  <c r="Y9" i="6" s="1"/>
  <c r="V8" i="6"/>
  <c r="U8" i="6"/>
  <c r="D20" i="6" s="1"/>
  <c r="D8" i="6"/>
  <c r="D10" i="6" s="1"/>
  <c r="V7" i="6"/>
  <c r="U7" i="6"/>
  <c r="X7" i="6" s="1"/>
  <c r="X6" i="6"/>
  <c r="V6" i="6"/>
  <c r="U6" i="6"/>
  <c r="W6" i="6" s="1"/>
  <c r="W5" i="6"/>
  <c r="V5" i="6"/>
  <c r="U5" i="6"/>
  <c r="U36" i="6" s="1"/>
  <c r="S5" i="6"/>
  <c r="P5" i="6"/>
  <c r="T36" i="5"/>
  <c r="R36" i="5"/>
  <c r="Q36" i="5"/>
  <c r="S36" i="5" s="1"/>
  <c r="O36" i="5"/>
  <c r="N36" i="5"/>
  <c r="D29" i="5" s="1"/>
  <c r="L36" i="5"/>
  <c r="M36" i="5" s="1"/>
  <c r="K36" i="5"/>
  <c r="V35" i="5"/>
  <c r="U35" i="5"/>
  <c r="X35" i="5" s="1"/>
  <c r="V34" i="5"/>
  <c r="U34" i="5"/>
  <c r="X34" i="5" s="1"/>
  <c r="V33" i="5"/>
  <c r="U33" i="5"/>
  <c r="X33" i="5" s="1"/>
  <c r="X32" i="5"/>
  <c r="V32" i="5"/>
  <c r="U32" i="5"/>
  <c r="W32" i="5" s="1"/>
  <c r="X31" i="5"/>
  <c r="V31" i="5"/>
  <c r="U31" i="5"/>
  <c r="W31" i="5" s="1"/>
  <c r="X30" i="5"/>
  <c r="W30" i="5"/>
  <c r="V30" i="5"/>
  <c r="U30" i="5"/>
  <c r="Y30" i="5" s="1"/>
  <c r="D30" i="5"/>
  <c r="X29" i="5"/>
  <c r="W29" i="5"/>
  <c r="V29" i="5"/>
  <c r="U29" i="5"/>
  <c r="Y29" i="5" s="1"/>
  <c r="X28" i="5"/>
  <c r="W28" i="5"/>
  <c r="V28" i="5"/>
  <c r="U28" i="5"/>
  <c r="Y28" i="5" s="1"/>
  <c r="D28" i="5"/>
  <c r="D32" i="5" s="1"/>
  <c r="X27" i="5"/>
  <c r="W27" i="5"/>
  <c r="V27" i="5"/>
  <c r="U27" i="5"/>
  <c r="Y27" i="5" s="1"/>
  <c r="X26" i="5"/>
  <c r="W26" i="5"/>
  <c r="V26" i="5"/>
  <c r="U26" i="5"/>
  <c r="Y26" i="5" s="1"/>
  <c r="V25" i="5"/>
  <c r="W25" i="5" s="1"/>
  <c r="U25" i="5"/>
  <c r="Y25" i="5" s="1"/>
  <c r="V24" i="5"/>
  <c r="W24" i="5" s="1"/>
  <c r="U24" i="5"/>
  <c r="Y24" i="5" s="1"/>
  <c r="V23" i="5"/>
  <c r="U23" i="5"/>
  <c r="X23" i="5" s="1"/>
  <c r="V22" i="5"/>
  <c r="U22" i="5"/>
  <c r="X22" i="5" s="1"/>
  <c r="X21" i="5"/>
  <c r="V21" i="5"/>
  <c r="U21" i="5"/>
  <c r="W21" i="5" s="1"/>
  <c r="X20" i="5"/>
  <c r="W20" i="5"/>
  <c r="V20" i="5"/>
  <c r="U20" i="5"/>
  <c r="Y20" i="5" s="1"/>
  <c r="X19" i="5"/>
  <c r="W19" i="5"/>
  <c r="V19" i="5"/>
  <c r="U19" i="5"/>
  <c r="Y19" i="5" s="1"/>
  <c r="V18" i="5"/>
  <c r="W18" i="5" s="1"/>
  <c r="U18" i="5"/>
  <c r="Y18" i="5" s="1"/>
  <c r="V17" i="5"/>
  <c r="U17" i="5"/>
  <c r="X17" i="5" s="1"/>
  <c r="V16" i="5"/>
  <c r="U16" i="5"/>
  <c r="X15" i="5"/>
  <c r="V15" i="5"/>
  <c r="U15" i="5"/>
  <c r="W15" i="5" s="1"/>
  <c r="X14" i="5"/>
  <c r="V14" i="5"/>
  <c r="U14" i="5"/>
  <c r="W14" i="5" s="1"/>
  <c r="X13" i="5"/>
  <c r="V13" i="5"/>
  <c r="U13" i="5"/>
  <c r="W13" i="5" s="1"/>
  <c r="X12" i="5"/>
  <c r="W12" i="5"/>
  <c r="V12" i="5"/>
  <c r="U12" i="5"/>
  <c r="Y12" i="5" s="1"/>
  <c r="X11" i="5"/>
  <c r="W11" i="5"/>
  <c r="V11" i="5"/>
  <c r="U11" i="5"/>
  <c r="Y11" i="5" s="1"/>
  <c r="X10" i="5"/>
  <c r="V10" i="5"/>
  <c r="W10" i="5" s="1"/>
  <c r="U10" i="5"/>
  <c r="Y10" i="5" s="1"/>
  <c r="X9" i="5"/>
  <c r="V9" i="5"/>
  <c r="U9" i="5"/>
  <c r="Y9" i="5" s="1"/>
  <c r="V8" i="5"/>
  <c r="U8" i="5"/>
  <c r="Y8" i="5" s="1"/>
  <c r="D8" i="5"/>
  <c r="H5" i="5" s="1"/>
  <c r="V7" i="5"/>
  <c r="U7" i="5"/>
  <c r="Y7" i="5" s="1"/>
  <c r="X6" i="5"/>
  <c r="V6" i="5"/>
  <c r="U6" i="5"/>
  <c r="W6" i="5" s="1"/>
  <c r="X5" i="5"/>
  <c r="W5" i="5"/>
  <c r="V5" i="5"/>
  <c r="U5" i="5"/>
  <c r="S5" i="5"/>
  <c r="P5" i="5"/>
  <c r="T36" i="4"/>
  <c r="R36" i="4"/>
  <c r="S36" i="4" s="1"/>
  <c r="Q36" i="4"/>
  <c r="O36" i="4"/>
  <c r="N36" i="4"/>
  <c r="L36" i="4"/>
  <c r="K36" i="4"/>
  <c r="M36" i="4" s="1"/>
  <c r="V35" i="4"/>
  <c r="U35" i="4"/>
  <c r="Y34" i="4"/>
  <c r="V34" i="4"/>
  <c r="U34" i="4"/>
  <c r="Y33" i="4"/>
  <c r="V33" i="4"/>
  <c r="U33" i="4"/>
  <c r="X32" i="4"/>
  <c r="V32" i="4"/>
  <c r="U32" i="4"/>
  <c r="W32" i="4" s="1"/>
  <c r="X31" i="4"/>
  <c r="V31" i="4"/>
  <c r="U31" i="4"/>
  <c r="W31" i="4" s="1"/>
  <c r="X30" i="4"/>
  <c r="W30" i="4"/>
  <c r="V30" i="4"/>
  <c r="U30" i="4"/>
  <c r="Y30" i="4" s="1"/>
  <c r="D30" i="4"/>
  <c r="X29" i="4"/>
  <c r="W29" i="4"/>
  <c r="V29" i="4"/>
  <c r="U29" i="4"/>
  <c r="Y29" i="4" s="1"/>
  <c r="X28" i="4"/>
  <c r="W28" i="4"/>
  <c r="V28" i="4"/>
  <c r="U28" i="4"/>
  <c r="Y28" i="4" s="1"/>
  <c r="X27" i="4"/>
  <c r="W27" i="4"/>
  <c r="V27" i="4"/>
  <c r="U27" i="4"/>
  <c r="Y27" i="4" s="1"/>
  <c r="X26" i="4"/>
  <c r="W26" i="4"/>
  <c r="V26" i="4"/>
  <c r="U26" i="4"/>
  <c r="Y26" i="4" s="1"/>
  <c r="V25" i="4"/>
  <c r="W25" i="4" s="1"/>
  <c r="U25" i="4"/>
  <c r="Y25" i="4" s="1"/>
  <c r="V24" i="4"/>
  <c r="W24" i="4" s="1"/>
  <c r="U24" i="4"/>
  <c r="Y24" i="4" s="1"/>
  <c r="Y23" i="4"/>
  <c r="V23" i="4"/>
  <c r="U23" i="4"/>
  <c r="Y22" i="4"/>
  <c r="V22" i="4"/>
  <c r="U22" i="4"/>
  <c r="X21" i="4"/>
  <c r="V21" i="4"/>
  <c r="U21" i="4"/>
  <c r="W21" i="4" s="1"/>
  <c r="X20" i="4"/>
  <c r="W20" i="4"/>
  <c r="V20" i="4"/>
  <c r="U20" i="4"/>
  <c r="Y20" i="4" s="1"/>
  <c r="X19" i="4"/>
  <c r="W19" i="4"/>
  <c r="V19" i="4"/>
  <c r="U19" i="4"/>
  <c r="Y19" i="4" s="1"/>
  <c r="V18" i="4"/>
  <c r="W18" i="4" s="1"/>
  <c r="U18" i="4"/>
  <c r="Y18" i="4" s="1"/>
  <c r="V17" i="4"/>
  <c r="U17" i="4"/>
  <c r="V16" i="4"/>
  <c r="U16" i="4"/>
  <c r="X15" i="4"/>
  <c r="V15" i="4"/>
  <c r="U15" i="4"/>
  <c r="W15" i="4" s="1"/>
  <c r="X14" i="4"/>
  <c r="V14" i="4"/>
  <c r="U14" i="4"/>
  <c r="W14" i="4" s="1"/>
  <c r="X13" i="4"/>
  <c r="V13" i="4"/>
  <c r="U13" i="4"/>
  <c r="W13" i="4" s="1"/>
  <c r="X12" i="4"/>
  <c r="W12" i="4"/>
  <c r="V12" i="4"/>
  <c r="U12" i="4"/>
  <c r="Y12" i="4" s="1"/>
  <c r="X11" i="4"/>
  <c r="W11" i="4"/>
  <c r="V11" i="4"/>
  <c r="U11" i="4"/>
  <c r="Y11" i="4" s="1"/>
  <c r="V10" i="4"/>
  <c r="W10" i="4" s="1"/>
  <c r="U10" i="4"/>
  <c r="Y10" i="4" s="1"/>
  <c r="V9" i="4"/>
  <c r="W9" i="4" s="1"/>
  <c r="U9" i="4"/>
  <c r="Y9" i="4" s="1"/>
  <c r="V8" i="4"/>
  <c r="U8" i="4"/>
  <c r="D8" i="4"/>
  <c r="D10" i="4" s="1"/>
  <c r="V7" i="4"/>
  <c r="V36" i="4" s="1"/>
  <c r="U7" i="4"/>
  <c r="Y6" i="4"/>
  <c r="V6" i="4"/>
  <c r="U6" i="4"/>
  <c r="X5" i="4"/>
  <c r="W5" i="4"/>
  <c r="V5" i="4"/>
  <c r="U5" i="4"/>
  <c r="U36" i="4" s="1"/>
  <c r="S5" i="4"/>
  <c r="P5" i="4"/>
  <c r="T36" i="3"/>
  <c r="R36" i="3"/>
  <c r="S36" i="3" s="1"/>
  <c r="Q36" i="3"/>
  <c r="O36" i="3"/>
  <c r="N36" i="3"/>
  <c r="D29" i="3" s="1"/>
  <c r="L36" i="3"/>
  <c r="K36" i="3"/>
  <c r="M36" i="3" s="1"/>
  <c r="V35" i="3"/>
  <c r="U35" i="3"/>
  <c r="X35" i="3" s="1"/>
  <c r="V34" i="3"/>
  <c r="U34" i="3"/>
  <c r="X34" i="3" s="1"/>
  <c r="V33" i="3"/>
  <c r="U33" i="3"/>
  <c r="X33" i="3" s="1"/>
  <c r="X32" i="3"/>
  <c r="V32" i="3"/>
  <c r="U32" i="3"/>
  <c r="W32" i="3" s="1"/>
  <c r="X31" i="3"/>
  <c r="V31" i="3"/>
  <c r="U31" i="3"/>
  <c r="W31" i="3" s="1"/>
  <c r="X30" i="3"/>
  <c r="W30" i="3"/>
  <c r="V30" i="3"/>
  <c r="U30" i="3"/>
  <c r="Y30" i="3" s="1"/>
  <c r="D30" i="3"/>
  <c r="X29" i="3"/>
  <c r="W29" i="3"/>
  <c r="V29" i="3"/>
  <c r="U29" i="3"/>
  <c r="Y29" i="3" s="1"/>
  <c r="X28" i="3"/>
  <c r="W28" i="3"/>
  <c r="V28" i="3"/>
  <c r="U28" i="3"/>
  <c r="Y28" i="3" s="1"/>
  <c r="X27" i="3"/>
  <c r="W27" i="3"/>
  <c r="V27" i="3"/>
  <c r="U27" i="3"/>
  <c r="Y27" i="3" s="1"/>
  <c r="X26" i="3"/>
  <c r="W26" i="3"/>
  <c r="V26" i="3"/>
  <c r="U26" i="3"/>
  <c r="Y26" i="3" s="1"/>
  <c r="V25" i="3"/>
  <c r="W25" i="3" s="1"/>
  <c r="U25" i="3"/>
  <c r="Y25" i="3" s="1"/>
  <c r="V24" i="3"/>
  <c r="W24" i="3" s="1"/>
  <c r="U24" i="3"/>
  <c r="Y24" i="3" s="1"/>
  <c r="V23" i="3"/>
  <c r="U23" i="3"/>
  <c r="X23" i="3" s="1"/>
  <c r="V22" i="3"/>
  <c r="U22" i="3"/>
  <c r="X22" i="3" s="1"/>
  <c r="X21" i="3"/>
  <c r="V21" i="3"/>
  <c r="U21" i="3"/>
  <c r="W21" i="3" s="1"/>
  <c r="X20" i="3"/>
  <c r="W20" i="3"/>
  <c r="V20" i="3"/>
  <c r="U20" i="3"/>
  <c r="Y20" i="3" s="1"/>
  <c r="X19" i="3"/>
  <c r="W19" i="3"/>
  <c r="V19" i="3"/>
  <c r="U19" i="3"/>
  <c r="Y19" i="3" s="1"/>
  <c r="V18" i="3"/>
  <c r="W18" i="3" s="1"/>
  <c r="U18" i="3"/>
  <c r="Y18" i="3" s="1"/>
  <c r="V17" i="3"/>
  <c r="U17" i="3"/>
  <c r="X17" i="3" s="1"/>
  <c r="V16" i="3"/>
  <c r="U16" i="3"/>
  <c r="X16" i="3" s="1"/>
  <c r="X15" i="3"/>
  <c r="V15" i="3"/>
  <c r="U15" i="3"/>
  <c r="W15" i="3" s="1"/>
  <c r="X14" i="3"/>
  <c r="V14" i="3"/>
  <c r="U14" i="3"/>
  <c r="W14" i="3" s="1"/>
  <c r="X13" i="3"/>
  <c r="V13" i="3"/>
  <c r="U13" i="3"/>
  <c r="W13" i="3" s="1"/>
  <c r="V12" i="3"/>
  <c r="U12" i="3"/>
  <c r="X12" i="3" s="1"/>
  <c r="V11" i="3"/>
  <c r="U11" i="3"/>
  <c r="X11" i="3" s="1"/>
  <c r="X10" i="3"/>
  <c r="V10" i="3"/>
  <c r="W10" i="3" s="1"/>
  <c r="U10" i="3"/>
  <c r="Y10" i="3" s="1"/>
  <c r="X9" i="3"/>
  <c r="V9" i="3"/>
  <c r="W9" i="3" s="1"/>
  <c r="U9" i="3"/>
  <c r="Y9" i="3" s="1"/>
  <c r="W8" i="3"/>
  <c r="V8" i="3"/>
  <c r="U8" i="3"/>
  <c r="D20" i="3" s="1"/>
  <c r="D8" i="3"/>
  <c r="D10" i="3" s="1"/>
  <c r="V7" i="3"/>
  <c r="W7" i="3" s="1"/>
  <c r="U7" i="3"/>
  <c r="X7" i="3" s="1"/>
  <c r="V6" i="3"/>
  <c r="V36" i="3" s="1"/>
  <c r="U6" i="3"/>
  <c r="W6" i="3" s="1"/>
  <c r="X5" i="3"/>
  <c r="V5" i="3"/>
  <c r="U5" i="3"/>
  <c r="U36" i="3" s="1"/>
  <c r="S5" i="3"/>
  <c r="P5" i="3"/>
  <c r="D30" i="2"/>
  <c r="D29" i="2"/>
  <c r="P36" i="2"/>
  <c r="L36" i="2"/>
  <c r="N36" i="2"/>
  <c r="O36" i="2"/>
  <c r="Q36" i="2"/>
  <c r="R36" i="2"/>
  <c r="T36" i="2"/>
  <c r="K36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X19" i="2" s="1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5" i="2"/>
  <c r="Y5" i="2" s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P5" i="2"/>
  <c r="S5" i="2"/>
  <c r="D8" i="2"/>
  <c r="H5" i="2" s="1"/>
  <c r="I36" i="14" l="1"/>
  <c r="K14" i="14"/>
  <c r="M33" i="14"/>
  <c r="M29" i="14"/>
  <c r="M25" i="14"/>
  <c r="M21" i="14"/>
  <c r="M17" i="14"/>
  <c r="M13" i="14"/>
  <c r="M9" i="14"/>
  <c r="M5" i="14"/>
  <c r="M35" i="14"/>
  <c r="M31" i="14"/>
  <c r="M27" i="14"/>
  <c r="M23" i="14"/>
  <c r="M19" i="14"/>
  <c r="M15" i="14"/>
  <c r="M11" i="14"/>
  <c r="M7" i="14"/>
  <c r="D23" i="14"/>
  <c r="D25" i="14"/>
  <c r="J36" i="14"/>
  <c r="K36" i="14" s="1"/>
  <c r="D20" i="14"/>
  <c r="L36" i="14"/>
  <c r="D17" i="14"/>
  <c r="D32" i="14"/>
  <c r="D10" i="13"/>
  <c r="H6" i="13" s="1"/>
  <c r="J5" i="13"/>
  <c r="I5" i="13"/>
  <c r="X7" i="13"/>
  <c r="W7" i="13"/>
  <c r="D20" i="13"/>
  <c r="X8" i="13"/>
  <c r="X36" i="13" s="1"/>
  <c r="W8" i="13"/>
  <c r="X17" i="13"/>
  <c r="W17" i="13"/>
  <c r="U36" i="13"/>
  <c r="X16" i="13"/>
  <c r="W16" i="13"/>
  <c r="W9" i="13"/>
  <c r="V36" i="13"/>
  <c r="X22" i="13"/>
  <c r="W22" i="13"/>
  <c r="Y7" i="13"/>
  <c r="Y8" i="13"/>
  <c r="Y17" i="13"/>
  <c r="X23" i="13"/>
  <c r="W23" i="13"/>
  <c r="Y33" i="13"/>
  <c r="Y34" i="13"/>
  <c r="Y35" i="13"/>
  <c r="Y6" i="13"/>
  <c r="D17" i="13"/>
  <c r="Y31" i="13"/>
  <c r="Y32" i="13"/>
  <c r="Y5" i="13"/>
  <c r="X18" i="13"/>
  <c r="X24" i="13"/>
  <c r="X25" i="13"/>
  <c r="W33" i="13"/>
  <c r="W34" i="13"/>
  <c r="W35" i="13"/>
  <c r="P36" i="13"/>
  <c r="Y13" i="13"/>
  <c r="Y14" i="13"/>
  <c r="Y15" i="13"/>
  <c r="Y21" i="13"/>
  <c r="D27" i="13"/>
  <c r="D28" i="13"/>
  <c r="D32" i="13" s="1"/>
  <c r="D10" i="12"/>
  <c r="X16" i="12"/>
  <c r="W16" i="12"/>
  <c r="X7" i="12"/>
  <c r="X36" i="12" s="1"/>
  <c r="W7" i="12"/>
  <c r="X8" i="12"/>
  <c r="W8" i="12"/>
  <c r="Y7" i="12"/>
  <c r="Y8" i="12"/>
  <c r="X23" i="12"/>
  <c r="W23" i="12"/>
  <c r="Y23" i="12"/>
  <c r="X17" i="12"/>
  <c r="W17" i="12"/>
  <c r="U36" i="12"/>
  <c r="H6" i="12"/>
  <c r="J5" i="12"/>
  <c r="I5" i="12"/>
  <c r="W9" i="12"/>
  <c r="V36" i="12"/>
  <c r="Y16" i="12"/>
  <c r="X22" i="12"/>
  <c r="W22" i="12"/>
  <c r="Y33" i="12"/>
  <c r="Y34" i="12"/>
  <c r="Y35" i="12"/>
  <c r="Y6" i="12"/>
  <c r="D17" i="12"/>
  <c r="Y31" i="12"/>
  <c r="Y32" i="12"/>
  <c r="Y5" i="12"/>
  <c r="X18" i="12"/>
  <c r="X24" i="12"/>
  <c r="X25" i="12"/>
  <c r="W33" i="12"/>
  <c r="W34" i="12"/>
  <c r="W35" i="12"/>
  <c r="P36" i="12"/>
  <c r="Y13" i="12"/>
  <c r="Y14" i="12"/>
  <c r="Y15" i="12"/>
  <c r="Y21" i="12"/>
  <c r="D27" i="12"/>
  <c r="D28" i="12"/>
  <c r="D32" i="12" s="1"/>
  <c r="D10" i="11"/>
  <c r="I5" i="11"/>
  <c r="J5" i="11"/>
  <c r="H6" i="11"/>
  <c r="Y6" i="11"/>
  <c r="Y36" i="11" s="1"/>
  <c r="U36" i="11"/>
  <c r="W6" i="11"/>
  <c r="D27" i="11"/>
  <c r="D20" i="11"/>
  <c r="X24" i="11"/>
  <c r="W24" i="11"/>
  <c r="X25" i="11"/>
  <c r="W25" i="11"/>
  <c r="D32" i="11"/>
  <c r="X8" i="11"/>
  <c r="X18" i="11"/>
  <c r="W18" i="11"/>
  <c r="X22" i="11"/>
  <c r="D29" i="11"/>
  <c r="X34" i="11"/>
  <c r="X6" i="11"/>
  <c r="X36" i="11" s="1"/>
  <c r="Y8" i="11"/>
  <c r="W9" i="11"/>
  <c r="X16" i="11"/>
  <c r="Y22" i="11"/>
  <c r="X23" i="11"/>
  <c r="Y24" i="11"/>
  <c r="Y25" i="11"/>
  <c r="D30" i="11"/>
  <c r="Y34" i="11"/>
  <c r="X35" i="11"/>
  <c r="W36" i="10"/>
  <c r="D23" i="10"/>
  <c r="D25" i="10"/>
  <c r="D20" i="10"/>
  <c r="D32" i="10"/>
  <c r="Y7" i="10"/>
  <c r="Y22" i="10"/>
  <c r="Y33" i="10"/>
  <c r="X5" i="10"/>
  <c r="Y6" i="10"/>
  <c r="W9" i="10"/>
  <c r="W10" i="10"/>
  <c r="X11" i="10"/>
  <c r="X12" i="10"/>
  <c r="D17" i="10"/>
  <c r="W18" i="10"/>
  <c r="X19" i="10"/>
  <c r="X20" i="10"/>
  <c r="W24" i="10"/>
  <c r="W25" i="10"/>
  <c r="X26" i="10"/>
  <c r="X27" i="10"/>
  <c r="X28" i="10"/>
  <c r="X29" i="10"/>
  <c r="X30" i="10"/>
  <c r="Y31" i="10"/>
  <c r="Y32" i="10"/>
  <c r="Y8" i="10"/>
  <c r="Y16" i="10"/>
  <c r="Y17" i="10"/>
  <c r="Y23" i="10"/>
  <c r="Y34" i="10"/>
  <c r="Y35" i="10"/>
  <c r="Y5" i="10"/>
  <c r="Y36" i="10" s="1"/>
  <c r="W7" i="10"/>
  <c r="W8" i="10"/>
  <c r="W16" i="10"/>
  <c r="W17" i="10"/>
  <c r="X18" i="10"/>
  <c r="W22" i="10"/>
  <c r="W23" i="10"/>
  <c r="X24" i="10"/>
  <c r="X25" i="10"/>
  <c r="W33" i="10"/>
  <c r="W34" i="10"/>
  <c r="W35" i="10"/>
  <c r="P36" i="10"/>
  <c r="J5" i="10"/>
  <c r="H6" i="10"/>
  <c r="X8" i="10"/>
  <c r="D27" i="10"/>
  <c r="D10" i="9"/>
  <c r="X22" i="9"/>
  <c r="W22" i="9"/>
  <c r="X7" i="9"/>
  <c r="W7" i="9"/>
  <c r="X8" i="9"/>
  <c r="W8" i="9"/>
  <c r="X17" i="9"/>
  <c r="W17" i="9"/>
  <c r="U36" i="9"/>
  <c r="X16" i="9"/>
  <c r="W16" i="9"/>
  <c r="Y22" i="9"/>
  <c r="H6" i="9"/>
  <c r="J5" i="9"/>
  <c r="I5" i="9"/>
  <c r="W9" i="9"/>
  <c r="V36" i="9"/>
  <c r="Y7" i="9"/>
  <c r="Y8" i="9"/>
  <c r="Y17" i="9"/>
  <c r="X23" i="9"/>
  <c r="X36" i="9" s="1"/>
  <c r="W23" i="9"/>
  <c r="Y33" i="9"/>
  <c r="Y34" i="9"/>
  <c r="Y35" i="9"/>
  <c r="Y6" i="9"/>
  <c r="Y14" i="9"/>
  <c r="D17" i="9"/>
  <c r="Y21" i="9"/>
  <c r="Y31" i="9"/>
  <c r="Y5" i="9"/>
  <c r="X18" i="9"/>
  <c r="X24" i="9"/>
  <c r="X25" i="9"/>
  <c r="W33" i="9"/>
  <c r="W34" i="9"/>
  <c r="W35" i="9"/>
  <c r="P36" i="9"/>
  <c r="Y13" i="9"/>
  <c r="Y15" i="9"/>
  <c r="Y32" i="9"/>
  <c r="D27" i="9"/>
  <c r="D28" i="9"/>
  <c r="D32" i="9" s="1"/>
  <c r="D10" i="8"/>
  <c r="H6" i="8" s="1"/>
  <c r="J5" i="8"/>
  <c r="I5" i="8"/>
  <c r="W9" i="8"/>
  <c r="V36" i="8"/>
  <c r="X16" i="8"/>
  <c r="W16" i="8"/>
  <c r="X22" i="8"/>
  <c r="W22" i="8"/>
  <c r="X7" i="8"/>
  <c r="X36" i="8" s="1"/>
  <c r="W7" i="8"/>
  <c r="X8" i="8"/>
  <c r="W8" i="8"/>
  <c r="X17" i="8"/>
  <c r="W17" i="8"/>
  <c r="U36" i="8"/>
  <c r="D20" i="8" s="1"/>
  <c r="Y7" i="8"/>
  <c r="Y8" i="8"/>
  <c r="Y17" i="8"/>
  <c r="X23" i="8"/>
  <c r="W23" i="8"/>
  <c r="Y14" i="8"/>
  <c r="Y15" i="8"/>
  <c r="Y32" i="8"/>
  <c r="Y5" i="8"/>
  <c r="X18" i="8"/>
  <c r="X24" i="8"/>
  <c r="X25" i="8"/>
  <c r="W33" i="8"/>
  <c r="W34" i="8"/>
  <c r="W35" i="8"/>
  <c r="P36" i="8"/>
  <c r="Y33" i="8"/>
  <c r="Y34" i="8"/>
  <c r="Y35" i="8"/>
  <c r="Y6" i="8"/>
  <c r="Y13" i="8"/>
  <c r="D17" i="8"/>
  <c r="Y21" i="8"/>
  <c r="Y31" i="8"/>
  <c r="D27" i="8"/>
  <c r="D28" i="8"/>
  <c r="D32" i="8" s="1"/>
  <c r="D10" i="7"/>
  <c r="H6" i="7" s="1"/>
  <c r="X7" i="7"/>
  <c r="X36" i="7" s="1"/>
  <c r="W7" i="7"/>
  <c r="D20" i="7"/>
  <c r="X8" i="7"/>
  <c r="W8" i="7"/>
  <c r="X17" i="7"/>
  <c r="W17" i="7"/>
  <c r="U36" i="7"/>
  <c r="X16" i="7"/>
  <c r="W16" i="7"/>
  <c r="Y7" i="7"/>
  <c r="Y8" i="7"/>
  <c r="Y17" i="7"/>
  <c r="X23" i="7"/>
  <c r="Y23" i="7"/>
  <c r="W23" i="7"/>
  <c r="J5" i="7"/>
  <c r="I5" i="7"/>
  <c r="V36" i="7"/>
  <c r="W9" i="7"/>
  <c r="Y16" i="7"/>
  <c r="X22" i="7"/>
  <c r="W22" i="7"/>
  <c r="Y13" i="7"/>
  <c r="Y14" i="7"/>
  <c r="Y15" i="7"/>
  <c r="Y21" i="7"/>
  <c r="Y5" i="7"/>
  <c r="X18" i="7"/>
  <c r="X24" i="7"/>
  <c r="X25" i="7"/>
  <c r="W33" i="7"/>
  <c r="W34" i="7"/>
  <c r="W35" i="7"/>
  <c r="P36" i="7"/>
  <c r="Y33" i="7"/>
  <c r="Y34" i="7"/>
  <c r="Y35" i="7"/>
  <c r="Y6" i="7"/>
  <c r="D17" i="7"/>
  <c r="Y31" i="7"/>
  <c r="Y32" i="7"/>
  <c r="D27" i="7"/>
  <c r="D28" i="7"/>
  <c r="D32" i="7" s="1"/>
  <c r="H5" i="6"/>
  <c r="I5" i="6" s="1"/>
  <c r="W36" i="6"/>
  <c r="D23" i="6"/>
  <c r="D25" i="6"/>
  <c r="D35" i="6"/>
  <c r="D34" i="6"/>
  <c r="Y7" i="6"/>
  <c r="Y8" i="6"/>
  <c r="Y17" i="6"/>
  <c r="Y22" i="6"/>
  <c r="Y34" i="6"/>
  <c r="X5" i="6"/>
  <c r="Y6" i="6"/>
  <c r="W9" i="6"/>
  <c r="W10" i="6"/>
  <c r="X11" i="6"/>
  <c r="X12" i="6"/>
  <c r="D17" i="6"/>
  <c r="W18" i="6"/>
  <c r="W24" i="6"/>
  <c r="W25" i="6"/>
  <c r="X26" i="6"/>
  <c r="X27" i="6"/>
  <c r="X28" i="6"/>
  <c r="X29" i="6"/>
  <c r="X30" i="6"/>
  <c r="Y32" i="6"/>
  <c r="Y5" i="6"/>
  <c r="W7" i="6"/>
  <c r="W8" i="6"/>
  <c r="W16" i="6"/>
  <c r="W17" i="6"/>
  <c r="X18" i="6"/>
  <c r="W22" i="6"/>
  <c r="W23" i="6"/>
  <c r="X24" i="6"/>
  <c r="X25" i="6"/>
  <c r="W33" i="6"/>
  <c r="W34" i="6"/>
  <c r="W35" i="6"/>
  <c r="P36" i="6"/>
  <c r="Y16" i="6"/>
  <c r="Y23" i="6"/>
  <c r="Y33" i="6"/>
  <c r="Y35" i="6"/>
  <c r="J5" i="6"/>
  <c r="H6" i="6"/>
  <c r="X8" i="6"/>
  <c r="D27" i="6"/>
  <c r="D10" i="5"/>
  <c r="X16" i="5"/>
  <c r="W16" i="5"/>
  <c r="Y16" i="5"/>
  <c r="X7" i="5"/>
  <c r="W7" i="5"/>
  <c r="D20" i="5"/>
  <c r="X8" i="5"/>
  <c r="X36" i="5" s="1"/>
  <c r="W8" i="5"/>
  <c r="U36" i="5"/>
  <c r="H6" i="5"/>
  <c r="J5" i="5"/>
  <c r="I5" i="5"/>
  <c r="W9" i="5"/>
  <c r="V36" i="5"/>
  <c r="D34" i="5"/>
  <c r="D35" i="5"/>
  <c r="Y23" i="5"/>
  <c r="Y33" i="5"/>
  <c r="Y34" i="5"/>
  <c r="Y35" i="5"/>
  <c r="Y6" i="5"/>
  <c r="Y13" i="5"/>
  <c r="Y14" i="5"/>
  <c r="Y21" i="5"/>
  <c r="Y5" i="5"/>
  <c r="W17" i="5"/>
  <c r="X18" i="5"/>
  <c r="W22" i="5"/>
  <c r="W23" i="5"/>
  <c r="X24" i="5"/>
  <c r="X25" i="5"/>
  <c r="W33" i="5"/>
  <c r="W34" i="5"/>
  <c r="W35" i="5"/>
  <c r="P36" i="5"/>
  <c r="Y17" i="5"/>
  <c r="Y22" i="5"/>
  <c r="Y15" i="5"/>
  <c r="D17" i="5"/>
  <c r="Y31" i="5"/>
  <c r="Y32" i="5"/>
  <c r="D27" i="5"/>
  <c r="H5" i="4"/>
  <c r="W36" i="4"/>
  <c r="D23" i="4"/>
  <c r="X17" i="4"/>
  <c r="W17" i="4"/>
  <c r="D27" i="4"/>
  <c r="W6" i="4"/>
  <c r="D17" i="4"/>
  <c r="X7" i="4"/>
  <c r="W7" i="4"/>
  <c r="X16" i="4"/>
  <c r="W16" i="4"/>
  <c r="X35" i="4"/>
  <c r="W35" i="4"/>
  <c r="Y17" i="4"/>
  <c r="X23" i="4"/>
  <c r="W23" i="4"/>
  <c r="D25" i="4"/>
  <c r="X34" i="4"/>
  <c r="W34" i="4"/>
  <c r="D29" i="4"/>
  <c r="P36" i="4"/>
  <c r="D20" i="4"/>
  <c r="X8" i="4"/>
  <c r="W8" i="4"/>
  <c r="X6" i="4"/>
  <c r="X36" i="4" s="1"/>
  <c r="Y7" i="4"/>
  <c r="Y8" i="4"/>
  <c r="Y16" i="4"/>
  <c r="X22" i="4"/>
  <c r="W22" i="4"/>
  <c r="X33" i="4"/>
  <c r="W33" i="4"/>
  <c r="Y35" i="4"/>
  <c r="Y13" i="4"/>
  <c r="Y14" i="4"/>
  <c r="Y15" i="4"/>
  <c r="Y21" i="4"/>
  <c r="Y31" i="4"/>
  <c r="Y32" i="4"/>
  <c r="Y5" i="4"/>
  <c r="X9" i="4"/>
  <c r="X10" i="4"/>
  <c r="X18" i="4"/>
  <c r="X24" i="4"/>
  <c r="X25" i="4"/>
  <c r="D28" i="4"/>
  <c r="D32" i="4" s="1"/>
  <c r="W36" i="3"/>
  <c r="D23" i="3"/>
  <c r="D25" i="3"/>
  <c r="H5" i="3"/>
  <c r="Y6" i="3"/>
  <c r="Y5" i="3"/>
  <c r="Y11" i="3"/>
  <c r="Y12" i="3"/>
  <c r="W5" i="3"/>
  <c r="X6" i="3"/>
  <c r="X36" i="3" s="1"/>
  <c r="Y7" i="3"/>
  <c r="Y8" i="3"/>
  <c r="W11" i="3"/>
  <c r="W12" i="3"/>
  <c r="Y16" i="3"/>
  <c r="Y17" i="3"/>
  <c r="Y22" i="3"/>
  <c r="Y23" i="3"/>
  <c r="Y33" i="3"/>
  <c r="Y34" i="3"/>
  <c r="Y35" i="3"/>
  <c r="Y13" i="3"/>
  <c r="Y14" i="3"/>
  <c r="Y15" i="3"/>
  <c r="D17" i="3"/>
  <c r="Y21" i="3"/>
  <c r="Y31" i="3"/>
  <c r="Y32" i="3"/>
  <c r="W16" i="3"/>
  <c r="W17" i="3"/>
  <c r="X18" i="3"/>
  <c r="W22" i="3"/>
  <c r="W23" i="3"/>
  <c r="X24" i="3"/>
  <c r="X25" i="3"/>
  <c r="W33" i="3"/>
  <c r="W34" i="3"/>
  <c r="W35" i="3"/>
  <c r="P36" i="3"/>
  <c r="X8" i="3"/>
  <c r="D27" i="3"/>
  <c r="D28" i="3"/>
  <c r="D32" i="3" s="1"/>
  <c r="M36" i="2"/>
  <c r="D27" i="2"/>
  <c r="D28" i="2"/>
  <c r="D32" i="2" s="1"/>
  <c r="V36" i="2"/>
  <c r="S36" i="2"/>
  <c r="W19" i="2"/>
  <c r="Y19" i="2"/>
  <c r="Y36" i="2" s="1"/>
  <c r="X5" i="2"/>
  <c r="X36" i="2" s="1"/>
  <c r="W5" i="2"/>
  <c r="U36" i="2"/>
  <c r="D17" i="2"/>
  <c r="I5" i="2"/>
  <c r="J5" i="2"/>
  <c r="D10" i="2"/>
  <c r="H6" i="2" s="1"/>
  <c r="D35" i="14" l="1"/>
  <c r="D34" i="14"/>
  <c r="M36" i="14"/>
  <c r="I6" i="13"/>
  <c r="Y36" i="13"/>
  <c r="D35" i="13"/>
  <c r="D34" i="13"/>
  <c r="W36" i="13"/>
  <c r="D23" i="13"/>
  <c r="D25" i="13"/>
  <c r="D23" i="12"/>
  <c r="W36" i="12"/>
  <c r="D25" i="12"/>
  <c r="D34" i="12"/>
  <c r="D35" i="12"/>
  <c r="J6" i="12"/>
  <c r="I6" i="12"/>
  <c r="Y36" i="12"/>
  <c r="D20" i="12"/>
  <c r="D35" i="11"/>
  <c r="D34" i="11"/>
  <c r="W36" i="11"/>
  <c r="D23" i="11"/>
  <c r="D25" i="11"/>
  <c r="X36" i="10"/>
  <c r="D35" i="10"/>
  <c r="D34" i="10"/>
  <c r="J6" i="9"/>
  <c r="I6" i="9"/>
  <c r="D34" i="9"/>
  <c r="D35" i="9"/>
  <c r="Y36" i="9"/>
  <c r="D23" i="9"/>
  <c r="W36" i="9"/>
  <c r="D25" i="9"/>
  <c r="D20" i="9"/>
  <c r="Y36" i="8"/>
  <c r="J6" i="8"/>
  <c r="I6" i="8"/>
  <c r="W36" i="8"/>
  <c r="D23" i="8"/>
  <c r="D25" i="8"/>
  <c r="D35" i="8"/>
  <c r="D34" i="8"/>
  <c r="D35" i="7"/>
  <c r="D34" i="7"/>
  <c r="Y36" i="7"/>
  <c r="I6" i="7"/>
  <c r="D25" i="7"/>
  <c r="W36" i="7"/>
  <c r="D23" i="7"/>
  <c r="I6" i="6"/>
  <c r="Y36" i="6"/>
  <c r="X36" i="6"/>
  <c r="D23" i="5"/>
  <c r="D25" i="5"/>
  <c r="W36" i="5"/>
  <c r="Y36" i="5"/>
  <c r="D35" i="4"/>
  <c r="D34" i="4"/>
  <c r="Y36" i="4"/>
  <c r="H6" i="4"/>
  <c r="I5" i="4"/>
  <c r="J5" i="4"/>
  <c r="D35" i="3"/>
  <c r="D34" i="3"/>
  <c r="Y36" i="3"/>
  <c r="H6" i="3"/>
  <c r="J5" i="3"/>
  <c r="I5" i="3"/>
  <c r="D23" i="2"/>
  <c r="D25" i="2"/>
  <c r="D35" i="2"/>
  <c r="D34" i="2"/>
  <c r="W36" i="2"/>
  <c r="D20" i="2"/>
  <c r="I6" i="2"/>
  <c r="H7" i="2"/>
  <c r="J7" i="12" l="1"/>
  <c r="J7" i="9"/>
  <c r="J7" i="8"/>
  <c r="H8" i="2"/>
  <c r="I7" i="2"/>
  <c r="J8" i="12" l="1"/>
  <c r="J8" i="9"/>
  <c r="J8" i="8"/>
  <c r="I8" i="2"/>
  <c r="H9" i="2"/>
  <c r="J9" i="12" l="1"/>
  <c r="J9" i="9"/>
  <c r="J9" i="8"/>
  <c r="H10" i="2"/>
  <c r="I9" i="2"/>
  <c r="J10" i="12" l="1"/>
  <c r="J10" i="9"/>
  <c r="J10" i="8"/>
  <c r="H11" i="2"/>
  <c r="I10" i="2"/>
  <c r="J11" i="12" l="1"/>
  <c r="J11" i="9"/>
  <c r="J11" i="8"/>
  <c r="H12" i="2"/>
  <c r="I11" i="2"/>
  <c r="J12" i="12" l="1"/>
  <c r="J12" i="9"/>
  <c r="J12" i="8"/>
  <c r="H13" i="2"/>
  <c r="I12" i="2"/>
  <c r="J13" i="12" l="1"/>
  <c r="J13" i="9"/>
  <c r="J13" i="8"/>
  <c r="H14" i="2"/>
  <c r="I13" i="2"/>
  <c r="J14" i="12" l="1"/>
  <c r="J14" i="9"/>
  <c r="J14" i="8"/>
  <c r="H15" i="2"/>
  <c r="I14" i="2"/>
  <c r="J15" i="12" l="1"/>
  <c r="J15" i="9"/>
  <c r="J15" i="8"/>
  <c r="H16" i="2"/>
  <c r="I15" i="2"/>
  <c r="J16" i="12" l="1"/>
  <c r="J16" i="9"/>
  <c r="J16" i="8"/>
  <c r="H17" i="2"/>
  <c r="I16" i="2"/>
  <c r="J17" i="12" l="1"/>
  <c r="J17" i="9"/>
  <c r="J17" i="8"/>
  <c r="H18" i="2"/>
  <c r="I17" i="2"/>
  <c r="J18" i="12" l="1"/>
  <c r="J18" i="9"/>
  <c r="J18" i="8"/>
  <c r="H19" i="2"/>
  <c r="I18" i="2"/>
  <c r="J19" i="12" l="1"/>
  <c r="J19" i="9"/>
  <c r="J19" i="8"/>
  <c r="H20" i="2"/>
  <c r="I19" i="2"/>
  <c r="J20" i="12" l="1"/>
  <c r="J20" i="9"/>
  <c r="J20" i="8"/>
  <c r="H21" i="2"/>
  <c r="I20" i="2"/>
  <c r="J21" i="12" l="1"/>
  <c r="J21" i="9"/>
  <c r="J21" i="8"/>
  <c r="H22" i="2"/>
  <c r="I21" i="2"/>
  <c r="J22" i="12" l="1"/>
  <c r="J22" i="9"/>
  <c r="J22" i="8"/>
  <c r="H23" i="2"/>
  <c r="I22" i="2"/>
  <c r="J23" i="12" l="1"/>
  <c r="J23" i="9"/>
  <c r="J23" i="8"/>
  <c r="H24" i="2"/>
  <c r="I23" i="2"/>
  <c r="J24" i="12" l="1"/>
  <c r="J24" i="9"/>
  <c r="J24" i="8"/>
  <c r="H25" i="2"/>
  <c r="I24" i="2"/>
  <c r="J25" i="12" l="1"/>
  <c r="J25" i="9"/>
  <c r="J25" i="8"/>
  <c r="H26" i="2"/>
  <c r="I25" i="2"/>
  <c r="J26" i="12" l="1"/>
  <c r="J26" i="9"/>
  <c r="J26" i="8"/>
  <c r="H27" i="2"/>
  <c r="I26" i="2"/>
  <c r="J27" i="12" l="1"/>
  <c r="J27" i="9"/>
  <c r="J27" i="8"/>
  <c r="H28" i="2"/>
  <c r="I27" i="2"/>
  <c r="J28" i="12" l="1"/>
  <c r="J28" i="9"/>
  <c r="J28" i="8"/>
  <c r="H29" i="2"/>
  <c r="I28" i="2"/>
  <c r="J29" i="12" l="1"/>
  <c r="J29" i="9"/>
  <c r="J29" i="8"/>
  <c r="H30" i="2"/>
  <c r="I29" i="2"/>
  <c r="J30" i="12" l="1"/>
  <c r="J30" i="9"/>
  <c r="J30" i="8"/>
  <c r="H31" i="2"/>
  <c r="I30" i="2"/>
  <c r="J31" i="12" l="1"/>
  <c r="J31" i="9"/>
  <c r="J31" i="8"/>
  <c r="H32" i="2"/>
  <c r="I31" i="2"/>
  <c r="J32" i="12" l="1"/>
  <c r="J32" i="9"/>
  <c r="J32" i="8"/>
  <c r="H33" i="2"/>
  <c r="I32" i="2"/>
  <c r="J33" i="12" l="1"/>
  <c r="J33" i="9"/>
  <c r="J33" i="8"/>
  <c r="H34" i="2"/>
  <c r="I33" i="2"/>
  <c r="J34" i="12" l="1"/>
  <c r="J34" i="9"/>
  <c r="J34" i="8"/>
  <c r="H35" i="2"/>
  <c r="I34" i="2"/>
  <c r="D12" i="13" l="1"/>
  <c r="J35" i="12"/>
  <c r="D12" i="12"/>
  <c r="D12" i="11"/>
  <c r="D12" i="10"/>
  <c r="J35" i="9"/>
  <c r="D12" i="9"/>
  <c r="J35" i="8"/>
  <c r="D12" i="8"/>
  <c r="D12" i="7"/>
  <c r="D12" i="6"/>
  <c r="D12" i="5"/>
  <c r="I35" i="2"/>
  <c r="D12" i="2"/>
  <c r="D15" i="13" l="1"/>
  <c r="D14" i="13"/>
  <c r="D15" i="12"/>
  <c r="D14" i="12"/>
  <c r="D14" i="11"/>
  <c r="D15" i="11"/>
  <c r="D14" i="10"/>
  <c r="D15" i="10"/>
  <c r="D15" i="9"/>
  <c r="D14" i="9"/>
  <c r="D15" i="8"/>
  <c r="D14" i="8"/>
  <c r="D15" i="7"/>
  <c r="D14" i="7"/>
  <c r="D14" i="6"/>
  <c r="D15" i="6"/>
  <c r="D15" i="5"/>
  <c r="D14" i="5"/>
  <c r="D12" i="4"/>
  <c r="D12" i="3"/>
  <c r="D12" i="14" s="1"/>
  <c r="D15" i="2"/>
  <c r="D14" i="2"/>
  <c r="D15" i="4" l="1"/>
  <c r="D14" i="4"/>
  <c r="D14" i="3"/>
  <c r="D15" i="3"/>
  <c r="D15" i="14" s="1"/>
  <c r="D14" i="14" l="1"/>
</calcChain>
</file>

<file path=xl/sharedStrings.xml><?xml version="1.0" encoding="utf-8"?>
<sst xmlns="http://schemas.openxmlformats.org/spreadsheetml/2006/main" count="582" uniqueCount="73">
  <si>
    <t>Dates</t>
  </si>
  <si>
    <t>Holidays</t>
  </si>
  <si>
    <t>Holiday</t>
  </si>
  <si>
    <t>Months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</si>
  <si>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</si>
  <si>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</si>
  <si>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</si>
  <si>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</si>
  <si>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</si>
  <si>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</si>
  <si>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</si>
  <si>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</si>
  <si>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</si>
  <si>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</si>
  <si>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</si>
  <si>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</si>
  <si>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</si>
  <si>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</t>
  </si>
  <si>
    <t>New Year</t>
  </si>
  <si>
    <t>Republic Day</t>
  </si>
  <si>
    <t>Holi</t>
  </si>
  <si>
    <t>Good Friday</t>
  </si>
  <si>
    <t>Labour Day</t>
  </si>
  <si>
    <t>Bakrid</t>
  </si>
  <si>
    <t>Muharram</t>
  </si>
  <si>
    <t>Independence Day</t>
  </si>
  <si>
    <t>Raksha Bandhan</t>
  </si>
  <si>
    <t>Ganesh Chaturthi</t>
  </si>
  <si>
    <t>Eid Milad</t>
  </si>
  <si>
    <t>Gandhi Jayanti</t>
  </si>
  <si>
    <t>Ayudha Pooja</t>
  </si>
  <si>
    <t>Vijay Dashmi</t>
  </si>
  <si>
    <t>Diwali</t>
  </si>
  <si>
    <t>Guru Nanak Jayanti</t>
  </si>
  <si>
    <t>Christmas</t>
  </si>
  <si>
    <t>Summary</t>
  </si>
  <si>
    <t>Month</t>
  </si>
  <si>
    <t>Start Date</t>
  </si>
  <si>
    <t>End Date</t>
  </si>
  <si>
    <t>Total Days</t>
  </si>
  <si>
    <t>Total Sat</t>
  </si>
  <si>
    <t>Total Sun</t>
  </si>
  <si>
    <t>Sr No.</t>
  </si>
  <si>
    <t>Date</t>
  </si>
  <si>
    <t>Day</t>
  </si>
  <si>
    <t>Highest Sale for the month</t>
  </si>
  <si>
    <t>Lowest Sale for the month</t>
  </si>
  <si>
    <t>Target Achieved</t>
  </si>
  <si>
    <t>Sales Till Date</t>
  </si>
  <si>
    <t>Average Sales</t>
  </si>
  <si>
    <t>Dine in Sales</t>
  </si>
  <si>
    <t>Takeaway Sales</t>
  </si>
  <si>
    <t>Delivery Sales</t>
  </si>
  <si>
    <t>Total Sales</t>
  </si>
  <si>
    <t>Last year sales</t>
  </si>
  <si>
    <t>Growth</t>
  </si>
  <si>
    <t>Growth %</t>
  </si>
  <si>
    <t>Dine in Tkts.</t>
  </si>
  <si>
    <t>APC/APT</t>
  </si>
  <si>
    <t>APC/APT(Avg. /Transaction)</t>
  </si>
  <si>
    <t>TA Sales</t>
  </si>
  <si>
    <t>TA Tkts.</t>
  </si>
  <si>
    <t>Delivery Tkts.</t>
  </si>
  <si>
    <t>Target Sales</t>
  </si>
  <si>
    <t>Total Tkts.</t>
  </si>
  <si>
    <t>%</t>
  </si>
  <si>
    <t>Consolidated</t>
  </si>
  <si>
    <t>Daily Sales Report</t>
  </si>
  <si>
    <t>Target  vs Acheived</t>
  </si>
  <si>
    <t>Total</t>
  </si>
  <si>
    <t>Consolidated / Summary</t>
  </si>
  <si>
    <t>Start Month</t>
  </si>
  <si>
    <t>End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</si>
</sst>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rial Black"/>
      <family val="2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16" fontId="4" fillId="4" borderId="2" xfId="0" applyNumberFormat="1" applyFont="1" applyFill="1" applyBorder="1" applyAlignment="1">
      <alignment horizontal="center"/>
    </xf>
    <xf numFmtId="0" fontId="7" fillId="2" borderId="0" xfId="0" applyFont="1" applyFill="1"/>
    <xf numFmtId="0" fontId="8" fillId="0" borderId="0" xfId="0" applyFont="1"/>
    <xf numFmtId="0" fontId="5" fillId="5" borderId="2" xfId="0" applyFont="1" applyFill="1" applyBorder="1"/>
    <xf numFmtId="0" fontId="0" fillId="6" borderId="2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9" borderId="2" xfId="0" applyFill="1" applyBorder="1" applyAlignment="1">
      <alignment horizontal="center"/>
    </xf>
    <xf numFmtId="9" fontId="0" fillId="0" borderId="0" xfId="1" applyFont="1" applyAlignment="1">
      <alignment horizontal="center"/>
    </xf>
    <xf numFmtId="9" fontId="2" fillId="7" borderId="2" xfId="1" applyFont="1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2" fontId="4" fillId="4" borderId="2" xfId="0" applyNumberFormat="1" applyFont="1" applyFill="1" applyBorder="1"/>
    <xf numFmtId="9" fontId="4" fillId="4" borderId="2" xfId="1" applyFont="1" applyFill="1" applyBorder="1"/>
    <xf numFmtId="2" fontId="4" fillId="4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top" wrapText="1"/>
    </xf>
    <xf numFmtId="0" fontId="4" fillId="4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top" wrapText="1"/>
    </xf>
    <xf numFmtId="15" fontId="0" fillId="0" borderId="2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91"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FD8A-51CA-41A7-BA03-47A2C6BD1564}">
  <dimension ref="A2:E19"/>
  <sheetViews>
    <sheetView zoomScale="70" zoomScaleNormal="70" workbookViewId="0">
      <selection activeCell="D19" sqref="D19"/>
    </sheetView>
  </sheetViews>
  <sheetFormatPr defaultRowHeight="14.4" x14ac:dyDescent="0.3"/>
  <cols>
    <col min="1" max="1" width="10" style="3" bestFit="1" customWidth="1"/>
    <col min="2" max="2" width="16.44140625" bestFit="1" customWidth="1"/>
    <col min="3" max="3" width="2.77734375" customWidth="1"/>
  </cols>
  <sheetData>
    <row r="2" spans="1:5" ht="15.6" x14ac:dyDescent="0.3">
      <c r="A2" s="1" t="s">
        <v>0</v>
      </c>
      <c r="B2" s="1" t="s">
        <v>2</v>
      </c>
      <c r="D2" s="1" t="s">
        <v>3</v>
      </c>
      <c r="E2" s="1" t="s">
        <v>4</v>
      </c>
    </row>
    <row r="3" spans="1:5" x14ac:dyDescent="0.3">
      <c r="A3" s="37">
        <v>45658</v>
      </c>
      <c r="B3" s="2" t="s">
        <v>18</v>
      </c>
      <c r="D3" s="2" t="s">
        <v>5</v>
      </c>
      <c r="E3" s="2">
        <v>2025</v>
      </c>
    </row>
    <row r="4" spans="1:5" x14ac:dyDescent="0.3">
      <c r="A4" s="37">
        <v>45683</v>
      </c>
      <c r="B4" s="2" t="s">
        <v>19</v>
      </c>
      <c r="D4" s="2" t="s">
        <v>6</v>
      </c>
      <c r="E4" s="2">
        <v>2026</v>
      </c>
    </row>
    <row r="5" spans="1:5" x14ac:dyDescent="0.3">
      <c r="A5" s="37">
        <v>45724</v>
      </c>
      <c r="B5" s="2" t="s">
        <v>20</v>
      </c>
      <c r="D5" s="2" t="s">
        <v>7</v>
      </c>
      <c r="E5" s="2">
        <v>2027</v>
      </c>
    </row>
    <row r="6" spans="1:5" x14ac:dyDescent="0.3">
      <c r="A6" s="37">
        <v>45754</v>
      </c>
      <c r="B6" s="2" t="s">
        <v>21</v>
      </c>
      <c r="D6" s="2" t="s">
        <v>8</v>
      </c>
      <c r="E6" s="2">
        <v>2028</v>
      </c>
    </row>
    <row r="7" spans="1:5" x14ac:dyDescent="0.3">
      <c r="A7" s="37">
        <v>45778</v>
      </c>
      <c r="B7" s="2" t="s">
        <v>22</v>
      </c>
      <c r="D7" s="2" t="s">
        <v>9</v>
      </c>
      <c r="E7" s="2">
        <v>2029</v>
      </c>
    </row>
    <row r="8" spans="1:5" x14ac:dyDescent="0.3">
      <c r="A8" s="37">
        <v>45837</v>
      </c>
      <c r="B8" s="2" t="s">
        <v>23</v>
      </c>
      <c r="D8" s="2" t="s">
        <v>10</v>
      </c>
      <c r="E8" s="2">
        <v>2030</v>
      </c>
    </row>
    <row r="9" spans="1:5" x14ac:dyDescent="0.3">
      <c r="A9" s="37">
        <v>45867</v>
      </c>
      <c r="B9" s="2" t="s">
        <v>24</v>
      </c>
      <c r="D9" s="2" t="s">
        <v>11</v>
      </c>
      <c r="E9" s="2">
        <v>2031</v>
      </c>
    </row>
    <row r="10" spans="1:5" x14ac:dyDescent="0.3">
      <c r="A10" s="37">
        <v>45884</v>
      </c>
      <c r="B10" s="2" t="s">
        <v>25</v>
      </c>
      <c r="D10" s="2" t="s">
        <v>12</v>
      </c>
      <c r="E10" s="2">
        <v>2032</v>
      </c>
    </row>
    <row r="11" spans="1:5" x14ac:dyDescent="0.3">
      <c r="A11" s="37">
        <v>45899</v>
      </c>
      <c r="B11" s="2" t="s">
        <v>26</v>
      </c>
      <c r="D11" s="2" t="s">
        <v>13</v>
      </c>
      <c r="E11" s="2">
        <v>2033</v>
      </c>
    </row>
    <row r="12" spans="1:5" x14ac:dyDescent="0.3">
      <c r="A12" s="37">
        <v>45919</v>
      </c>
      <c r="B12" s="2" t="s">
        <v>27</v>
      </c>
      <c r="D12" s="2" t="s">
        <v>14</v>
      </c>
      <c r="E12" s="2">
        <v>2034</v>
      </c>
    </row>
    <row r="13" spans="1:5" x14ac:dyDescent="0.3">
      <c r="A13" s="37">
        <v>45928</v>
      </c>
      <c r="B13" s="2" t="s">
        <v>28</v>
      </c>
      <c r="D13" s="2" t="s">
        <v>15</v>
      </c>
      <c r="E13" s="2">
        <v>2035</v>
      </c>
    </row>
    <row r="14" spans="1:5" x14ac:dyDescent="0.3">
      <c r="A14" s="37">
        <v>45932</v>
      </c>
      <c r="B14" s="2" t="s">
        <v>29</v>
      </c>
      <c r="D14" s="2" t="s">
        <v>16</v>
      </c>
      <c r="E14" s="2">
        <v>2036</v>
      </c>
    </row>
    <row r="15" spans="1:5" x14ac:dyDescent="0.3">
      <c r="A15" s="37">
        <v>45953</v>
      </c>
      <c r="B15" s="2" t="s">
        <v>30</v>
      </c>
      <c r="D15" s="2" t="s">
        <v>17</v>
      </c>
      <c r="E15" s="2">
        <v>2036</v>
      </c>
    </row>
    <row r="16" spans="1:5" x14ac:dyDescent="0.3">
      <c r="A16" s="37">
        <v>45954</v>
      </c>
      <c r="B16" s="2" t="s">
        <v>31</v>
      </c>
    </row>
    <row r="17" spans="1:2" x14ac:dyDescent="0.3">
      <c r="A17" s="37">
        <v>45974</v>
      </c>
      <c r="B17" s="2" t="s">
        <v>32</v>
      </c>
    </row>
    <row r="18" spans="1:2" x14ac:dyDescent="0.3">
      <c r="A18" s="37">
        <v>45988</v>
      </c>
      <c r="B18" s="2" t="s">
        <v>33</v>
      </c>
    </row>
    <row r="19" spans="1:2" x14ac:dyDescent="0.3">
      <c r="A19" s="37">
        <v>46016</v>
      </c>
      <c r="B19" s="2" t="s">
        <v>34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D02C-0892-463E-8E1F-338DEA7CF01F}">
  <dimension ref="B2:Y36"/>
  <sheetViews>
    <sheetView showGridLines="0" tabSelected="1" zoomScale="70" zoomScaleNormal="70" workbookViewId="0">
      <selection activeCell="J5" sqref="J5:J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5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45658</v>
      </c>
      <c r="I5" s="8" t="str">
        <f>TEXT(H5,"DDD")</f>
        <v>Wed</v>
      </c>
      <c r="J5" s="8" t="str">
        <f>IFERROR(VLOOKUP(H5,Sheet1!$A:$B,2,0),"")</f>
        <v>New Year</v>
      </c>
      <c r="K5" s="8"/>
      <c r="L5" s="8"/>
      <c r="M5" s="17"/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45659</v>
      </c>
      <c r="I6" s="8" t="str">
        <f t="shared" ref="I6:I35" si="0">TEXT(H6,"DDD")</f>
        <v>Thu</v>
      </c>
      <c r="J6" s="8" t="str">
        <f>IFERROR(VLOOKUP(H6,Sheet1!$A:$B,2,0),"")</f>
        <v/>
      </c>
      <c r="K6" s="8"/>
      <c r="L6" s="8"/>
      <c r="M6" s="17" t="str">
        <f t="shared" ref="M6:M35" si="1">IFERROR(IF(K6=0,"",K6/L6),"")</f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U35" si="4">K6+N6+Q6</f>
        <v>0</v>
      </c>
      <c r="V6" s="8">
        <f t="shared" ref="V6:V35" si="5">L6+O6+R6</f>
        <v>0</v>
      </c>
      <c r="W6" s="8" t="str">
        <f t="shared" ref="W6:W36" si="6">IFERROR(U6/V6,"0")</f>
        <v>0</v>
      </c>
      <c r="X6" s="8">
        <f t="shared" ref="X6:X35" si="7">U6-T6</f>
        <v>0</v>
      </c>
      <c r="Y6" s="25" t="str">
        <f t="shared" ref="Y6:Y35" si="8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9">IF(H6&lt;$D$10,H6+1,"")</f>
        <v>45660</v>
      </c>
      <c r="I7" s="8" t="str">
        <f t="shared" si="0"/>
        <v>Fri</v>
      </c>
      <c r="J7" s="8" t="str">
        <f>IFERROR(VLOOKUP(H7,Sheet1!$A:$B,2,0),"")</f>
        <v/>
      </c>
      <c r="K7" s="8"/>
      <c r="L7" s="8"/>
      <c r="M7" s="17" t="str">
        <f t="shared" si="1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5"/>
        <v>0</v>
      </c>
      <c r="W7" s="8" t="str">
        <f t="shared" si="6"/>
        <v>0</v>
      </c>
      <c r="X7" s="8">
        <f t="shared" si="7"/>
        <v>0</v>
      </c>
      <c r="Y7" s="25" t="str">
        <f t="shared" si="8"/>
        <v>0</v>
      </c>
    </row>
    <row r="8" spans="2:25" ht="15.6" x14ac:dyDescent="0.3">
      <c r="B8" s="9"/>
      <c r="C8" s="14" t="s">
        <v>37</v>
      </c>
      <c r="D8" s="13">
        <f>DATEVALUE("01"&amp;D4&amp;D6)</f>
        <v>45658</v>
      </c>
      <c r="E8" s="9"/>
      <c r="G8" s="8">
        <v>4</v>
      </c>
      <c r="H8" s="20">
        <f t="shared" si="9"/>
        <v>45661</v>
      </c>
      <c r="I8" s="20" t="str">
        <f t="shared" si="0"/>
        <v>Sat</v>
      </c>
      <c r="J8" s="8" t="str">
        <f>IFERROR(VLOOKUP(H8,Sheet1!$A:$B,2,0),"")</f>
        <v/>
      </c>
      <c r="K8" s="20"/>
      <c r="L8" s="20"/>
      <c r="M8" s="20" t="str">
        <f t="shared" si="1"/>
        <v/>
      </c>
      <c r="N8" s="20"/>
      <c r="O8" s="20"/>
      <c r="P8" s="20" t="str">
        <f t="shared" si="2"/>
        <v/>
      </c>
      <c r="Q8" s="20"/>
      <c r="R8" s="20"/>
      <c r="S8" s="20" t="str">
        <f t="shared" si="3"/>
        <v/>
      </c>
      <c r="T8" s="22"/>
      <c r="U8" s="8">
        <f t="shared" si="4"/>
        <v>0</v>
      </c>
      <c r="V8" s="8">
        <f t="shared" si="5"/>
        <v>0</v>
      </c>
      <c r="W8" s="8" t="str">
        <f t="shared" si="6"/>
        <v>0</v>
      </c>
      <c r="X8" s="8">
        <f t="shared" si="7"/>
        <v>0</v>
      </c>
      <c r="Y8" s="25" t="str">
        <f t="shared" si="8"/>
        <v>0</v>
      </c>
    </row>
    <row r="9" spans="2:25" x14ac:dyDescent="0.3">
      <c r="B9" s="9"/>
      <c r="C9" s="14"/>
      <c r="D9" s="10"/>
      <c r="E9" s="9"/>
      <c r="G9" s="8">
        <v>5</v>
      </c>
      <c r="H9" s="21">
        <f t="shared" si="9"/>
        <v>45662</v>
      </c>
      <c r="I9" s="21" t="str">
        <f t="shared" si="0"/>
        <v>Sun</v>
      </c>
      <c r="J9" s="8" t="str">
        <f>IFERROR(VLOOKUP(H9,Sheet1!$A:$B,2,0),"")</f>
        <v/>
      </c>
      <c r="K9" s="21"/>
      <c r="L9" s="21"/>
      <c r="M9" s="21" t="str">
        <f t="shared" si="1"/>
        <v/>
      </c>
      <c r="N9" s="21"/>
      <c r="O9" s="21"/>
      <c r="P9" s="21" t="str">
        <f t="shared" si="2"/>
        <v/>
      </c>
      <c r="Q9" s="21"/>
      <c r="R9" s="21"/>
      <c r="S9" s="21" t="str">
        <f t="shared" si="3"/>
        <v/>
      </c>
      <c r="T9" s="22"/>
      <c r="U9" s="8">
        <f t="shared" si="4"/>
        <v>0</v>
      </c>
      <c r="V9" s="8">
        <f t="shared" si="5"/>
        <v>0</v>
      </c>
      <c r="W9" s="8" t="str">
        <f t="shared" si="6"/>
        <v>0</v>
      </c>
      <c r="X9" s="8">
        <f t="shared" si="7"/>
        <v>0</v>
      </c>
      <c r="Y9" s="25" t="str">
        <f t="shared" si="8"/>
        <v>0</v>
      </c>
    </row>
    <row r="10" spans="2:25" ht="15.6" x14ac:dyDescent="0.3">
      <c r="B10" s="9"/>
      <c r="C10" s="14" t="s">
        <v>38</v>
      </c>
      <c r="D10" s="13">
        <f>EOMONTH(D8,0)</f>
        <v>45688</v>
      </c>
      <c r="E10" s="9"/>
      <c r="G10" s="8">
        <v>6</v>
      </c>
      <c r="H10" s="7">
        <f t="shared" si="9"/>
        <v>45663</v>
      </c>
      <c r="I10" s="8" t="str">
        <f t="shared" si="0"/>
        <v>Mon</v>
      </c>
      <c r="J10" s="8" t="str">
        <f>IFERROR(VLOOKUP(H10,Sheet1!$A:$B,2,0),"")</f>
        <v/>
      </c>
      <c r="K10" s="8"/>
      <c r="L10" s="8"/>
      <c r="M10" s="17" t="str">
        <f t="shared" si="1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5"/>
        <v>0</v>
      </c>
      <c r="W10" s="8" t="str">
        <f t="shared" si="6"/>
        <v>0</v>
      </c>
      <c r="X10" s="8">
        <f t="shared" si="7"/>
        <v>0</v>
      </c>
      <c r="Y10" s="25" t="str">
        <f t="shared" si="8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9"/>
        <v>45664</v>
      </c>
      <c r="I11" s="8" t="str">
        <f t="shared" si="0"/>
        <v>Tue</v>
      </c>
      <c r="J11" s="8" t="str">
        <f>IFERROR(VLOOKUP(H11,Sheet1!$A:$B,2,0),"")</f>
        <v/>
      </c>
      <c r="K11" s="8"/>
      <c r="L11" s="8"/>
      <c r="M11" s="17" t="str">
        <f t="shared" si="1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5"/>
        <v>0</v>
      </c>
      <c r="W11" s="8" t="str">
        <f t="shared" si="6"/>
        <v>0</v>
      </c>
      <c r="X11" s="8">
        <f t="shared" si="7"/>
        <v>0</v>
      </c>
      <c r="Y11" s="25" t="str">
        <f t="shared" si="8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9"/>
        <v>45665</v>
      </c>
      <c r="I12" s="8" t="str">
        <f t="shared" si="0"/>
        <v>Wed</v>
      </c>
      <c r="J12" s="8" t="str">
        <f>IFERROR(VLOOKUP(H12,Sheet1!$A:$B,2,0),"")</f>
        <v/>
      </c>
      <c r="K12" s="8"/>
      <c r="L12" s="8"/>
      <c r="M12" s="17" t="str">
        <f t="shared" si="1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5"/>
        <v>0</v>
      </c>
      <c r="W12" s="8" t="str">
        <f t="shared" si="6"/>
        <v>0</v>
      </c>
      <c r="X12" s="8">
        <f t="shared" si="7"/>
        <v>0</v>
      </c>
      <c r="Y12" s="25" t="str">
        <f t="shared" si="8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9"/>
        <v>45666</v>
      </c>
      <c r="I13" s="8" t="str">
        <f t="shared" si="0"/>
        <v>Thu</v>
      </c>
      <c r="J13" s="8" t="str">
        <f>IFERROR(VLOOKUP(H13,Sheet1!$A:$B,2,0),"")</f>
        <v/>
      </c>
      <c r="K13" s="8"/>
      <c r="L13" s="8"/>
      <c r="M13" s="17" t="str">
        <f t="shared" si="1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5"/>
        <v>0</v>
      </c>
      <c r="W13" s="8" t="str">
        <f t="shared" si="6"/>
        <v>0</v>
      </c>
      <c r="X13" s="8">
        <f t="shared" si="7"/>
        <v>0</v>
      </c>
      <c r="Y13" s="25" t="str">
        <f t="shared" si="8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9"/>
        <v>45667</v>
      </c>
      <c r="I14" s="8" t="str">
        <f t="shared" si="0"/>
        <v>Fri</v>
      </c>
      <c r="J14" s="8" t="str">
        <f>IFERROR(VLOOKUP(H14,Sheet1!$A:$B,2,0),"")</f>
        <v/>
      </c>
      <c r="K14" s="8"/>
      <c r="L14" s="8"/>
      <c r="M14" s="17" t="str">
        <f t="shared" si="1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5"/>
        <v>0</v>
      </c>
      <c r="W14" s="8" t="str">
        <f t="shared" si="6"/>
        <v>0</v>
      </c>
      <c r="X14" s="8">
        <f t="shared" si="7"/>
        <v>0</v>
      </c>
      <c r="Y14" s="25" t="str">
        <f t="shared" si="8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20">
        <f t="shared" si="9"/>
        <v>45668</v>
      </c>
      <c r="I15" s="20" t="str">
        <f t="shared" si="0"/>
        <v>Sat</v>
      </c>
      <c r="J15" s="8" t="str">
        <f>IFERROR(VLOOKUP(H15,Sheet1!$A:$B,2,0),"")</f>
        <v/>
      </c>
      <c r="K15" s="20"/>
      <c r="L15" s="20"/>
      <c r="M15" s="20" t="str">
        <f t="shared" si="1"/>
        <v/>
      </c>
      <c r="N15" s="20"/>
      <c r="O15" s="20"/>
      <c r="P15" s="20" t="str">
        <f t="shared" si="2"/>
        <v/>
      </c>
      <c r="Q15" s="20"/>
      <c r="R15" s="20"/>
      <c r="S15" s="20" t="str">
        <f t="shared" si="3"/>
        <v/>
      </c>
      <c r="T15" s="22"/>
      <c r="U15" s="8">
        <f t="shared" si="4"/>
        <v>0</v>
      </c>
      <c r="V15" s="8">
        <f t="shared" si="5"/>
        <v>0</v>
      </c>
      <c r="W15" s="8" t="str">
        <f t="shared" si="6"/>
        <v>0</v>
      </c>
      <c r="X15" s="8">
        <f t="shared" si="7"/>
        <v>0</v>
      </c>
      <c r="Y15" s="25" t="str">
        <f t="shared" si="8"/>
        <v>0</v>
      </c>
    </row>
    <row r="16" spans="2:25" x14ac:dyDescent="0.3">
      <c r="B16" s="9"/>
      <c r="C16" s="14"/>
      <c r="D16" s="9"/>
      <c r="E16" s="9"/>
      <c r="G16" s="8">
        <v>12</v>
      </c>
      <c r="H16" s="21">
        <f t="shared" si="9"/>
        <v>45669</v>
      </c>
      <c r="I16" s="21" t="str">
        <f t="shared" si="0"/>
        <v>Sun</v>
      </c>
      <c r="J16" s="8" t="str">
        <f>IFERROR(VLOOKUP(H16,Sheet1!$A:$B,2,0),"")</f>
        <v/>
      </c>
      <c r="K16" s="21"/>
      <c r="L16" s="21"/>
      <c r="M16" s="21" t="str">
        <f t="shared" si="1"/>
        <v/>
      </c>
      <c r="N16" s="21"/>
      <c r="O16" s="21"/>
      <c r="P16" s="21" t="str">
        <f t="shared" si="2"/>
        <v/>
      </c>
      <c r="Q16" s="21"/>
      <c r="R16" s="21"/>
      <c r="S16" s="21" t="str">
        <f t="shared" si="3"/>
        <v/>
      </c>
      <c r="T16" s="22"/>
      <c r="U16" s="8">
        <f t="shared" si="4"/>
        <v>0</v>
      </c>
      <c r="V16" s="8">
        <f t="shared" si="5"/>
        <v>0</v>
      </c>
      <c r="W16" s="8" t="str">
        <f t="shared" si="6"/>
        <v>0</v>
      </c>
      <c r="X16" s="8">
        <f t="shared" si="7"/>
        <v>0</v>
      </c>
      <c r="Y16" s="25" t="str">
        <f t="shared" si="8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9"/>
        <v>45670</v>
      </c>
      <c r="I17" s="8" t="str">
        <f t="shared" si="0"/>
        <v>Mon</v>
      </c>
      <c r="J17" s="8" t="str">
        <f>IFERROR(VLOOKUP(H17,Sheet1!$A:$B,2,0),"")</f>
        <v/>
      </c>
      <c r="K17" s="8"/>
      <c r="L17" s="8"/>
      <c r="M17" s="17" t="str">
        <f t="shared" si="1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5"/>
        <v>0</v>
      </c>
      <c r="W17" s="8" t="str">
        <f t="shared" si="6"/>
        <v>0</v>
      </c>
      <c r="X17" s="8">
        <f t="shared" si="7"/>
        <v>0</v>
      </c>
      <c r="Y17" s="25" t="str">
        <f t="shared" si="8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9"/>
        <v>45671</v>
      </c>
      <c r="I18" s="8" t="str">
        <f t="shared" si="0"/>
        <v>Tue</v>
      </c>
      <c r="J18" s="8" t="str">
        <f>IFERROR(VLOOKUP(H18,Sheet1!$A:$B,2,0),"")</f>
        <v/>
      </c>
      <c r="K18" s="8"/>
      <c r="L18" s="8"/>
      <c r="M18" s="17" t="str">
        <f t="shared" si="1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5"/>
        <v>0</v>
      </c>
      <c r="W18" s="8" t="str">
        <f t="shared" si="6"/>
        <v>0</v>
      </c>
      <c r="X18" s="8">
        <f t="shared" si="7"/>
        <v>0</v>
      </c>
      <c r="Y18" s="25" t="str">
        <f t="shared" si="8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9"/>
        <v>45672</v>
      </c>
      <c r="I19" s="8" t="str">
        <f t="shared" si="0"/>
        <v>Wed</v>
      </c>
      <c r="J19" s="8" t="str">
        <f>IFERROR(VLOOKUP(H19,Sheet1!$A:$B,2,0),"")</f>
        <v/>
      </c>
      <c r="K19" s="8"/>
      <c r="L19" s="8"/>
      <c r="M19" s="17" t="str">
        <f t="shared" si="1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5"/>
        <v>0</v>
      </c>
      <c r="W19" s="8" t="str">
        <f t="shared" si="6"/>
        <v>0</v>
      </c>
      <c r="X19" s="8">
        <f t="shared" si="7"/>
        <v>0</v>
      </c>
      <c r="Y19" s="25" t="str">
        <f t="shared" si="8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9"/>
        <v>45673</v>
      </c>
      <c r="I20" s="8" t="str">
        <f t="shared" si="0"/>
        <v>Thu</v>
      </c>
      <c r="J20" s="8" t="str">
        <f>IFERROR(VLOOKUP(H20,Sheet1!$A:$B,2,0),"")</f>
        <v/>
      </c>
      <c r="K20" s="8"/>
      <c r="L20" s="8"/>
      <c r="M20" s="17" t="str">
        <f t="shared" si="1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5"/>
        <v>0</v>
      </c>
      <c r="W20" s="8" t="str">
        <f t="shared" si="6"/>
        <v>0</v>
      </c>
      <c r="X20" s="8">
        <f t="shared" si="7"/>
        <v>0</v>
      </c>
      <c r="Y20" s="25" t="str">
        <f t="shared" si="8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9"/>
        <v>45674</v>
      </c>
      <c r="I21" s="8" t="str">
        <f t="shared" si="0"/>
        <v>Fri</v>
      </c>
      <c r="J21" s="8" t="str">
        <f>IFERROR(VLOOKUP(H21,Sheet1!$A:$B,2,0),"")</f>
        <v/>
      </c>
      <c r="K21" s="8"/>
      <c r="L21" s="8"/>
      <c r="M21" s="17" t="str">
        <f t="shared" si="1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5"/>
        <v>0</v>
      </c>
      <c r="W21" s="8" t="str">
        <f t="shared" si="6"/>
        <v>0</v>
      </c>
      <c r="X21" s="8">
        <f t="shared" si="7"/>
        <v>0</v>
      </c>
      <c r="Y21" s="25" t="str">
        <f t="shared" si="8"/>
        <v>0</v>
      </c>
    </row>
    <row r="22" spans="2:25" x14ac:dyDescent="0.3">
      <c r="B22" s="9"/>
      <c r="C22" s="14"/>
      <c r="D22" s="9"/>
      <c r="E22" s="9"/>
      <c r="G22" s="8">
        <v>18</v>
      </c>
      <c r="H22" s="20">
        <f t="shared" si="9"/>
        <v>45675</v>
      </c>
      <c r="I22" s="20" t="str">
        <f t="shared" si="0"/>
        <v>Sat</v>
      </c>
      <c r="J22" s="8" t="str">
        <f>IFERROR(VLOOKUP(H22,Sheet1!$A:$B,2,0),"")</f>
        <v/>
      </c>
      <c r="K22" s="20"/>
      <c r="L22" s="20"/>
      <c r="M22" s="20" t="str">
        <f t="shared" si="1"/>
        <v/>
      </c>
      <c r="N22" s="20"/>
      <c r="O22" s="20"/>
      <c r="P22" s="20" t="str">
        <f t="shared" si="2"/>
        <v/>
      </c>
      <c r="Q22" s="20"/>
      <c r="R22" s="20"/>
      <c r="S22" s="20" t="str">
        <f t="shared" si="3"/>
        <v/>
      </c>
      <c r="T22" s="22"/>
      <c r="U22" s="8">
        <f t="shared" si="4"/>
        <v>0</v>
      </c>
      <c r="V22" s="8">
        <f t="shared" si="5"/>
        <v>0</v>
      </c>
      <c r="W22" s="8" t="str">
        <f t="shared" si="6"/>
        <v>0</v>
      </c>
      <c r="X22" s="8">
        <f t="shared" si="7"/>
        <v>0</v>
      </c>
      <c r="Y22" s="25" t="str">
        <f t="shared" si="8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21">
        <f t="shared" si="9"/>
        <v>45676</v>
      </c>
      <c r="I23" s="21" t="str">
        <f t="shared" si="0"/>
        <v>Sun</v>
      </c>
      <c r="J23" s="8" t="str">
        <f>IFERROR(VLOOKUP(H23,Sheet1!$A:$B,2,0),"")</f>
        <v/>
      </c>
      <c r="K23" s="21"/>
      <c r="L23" s="21"/>
      <c r="M23" s="21" t="str">
        <f t="shared" si="1"/>
        <v/>
      </c>
      <c r="N23" s="21"/>
      <c r="O23" s="21"/>
      <c r="P23" s="21" t="str">
        <f t="shared" si="2"/>
        <v/>
      </c>
      <c r="Q23" s="21"/>
      <c r="R23" s="21"/>
      <c r="S23" s="21" t="str">
        <f t="shared" si="3"/>
        <v/>
      </c>
      <c r="T23" s="22"/>
      <c r="U23" s="8">
        <f t="shared" si="4"/>
        <v>0</v>
      </c>
      <c r="V23" s="8">
        <f t="shared" si="5"/>
        <v>0</v>
      </c>
      <c r="W23" s="8" t="str">
        <f t="shared" si="6"/>
        <v>0</v>
      </c>
      <c r="X23" s="8">
        <f t="shared" si="7"/>
        <v>0</v>
      </c>
      <c r="Y23" s="25" t="str">
        <f t="shared" si="8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9"/>
        <v>45677</v>
      </c>
      <c r="I24" s="8" t="str">
        <f t="shared" si="0"/>
        <v>Mon</v>
      </c>
      <c r="J24" s="8" t="str">
        <f>IFERROR(VLOOKUP(H24,Sheet1!$A:$B,2,0),"")</f>
        <v/>
      </c>
      <c r="K24" s="8"/>
      <c r="L24" s="8"/>
      <c r="M24" s="17" t="str">
        <f t="shared" si="1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5"/>
        <v>0</v>
      </c>
      <c r="W24" s="8" t="str">
        <f t="shared" si="6"/>
        <v>0</v>
      </c>
      <c r="X24" s="8">
        <f t="shared" si="7"/>
        <v>0</v>
      </c>
      <c r="Y24" s="25" t="str">
        <f t="shared" si="8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9"/>
        <v>45678</v>
      </c>
      <c r="I25" s="8" t="str">
        <f t="shared" si="0"/>
        <v>Tue</v>
      </c>
      <c r="J25" s="8" t="str">
        <f>IFERROR(VLOOKUP(H25,Sheet1!$A:$B,2,0),"")</f>
        <v/>
      </c>
      <c r="K25" s="8"/>
      <c r="L25" s="8"/>
      <c r="M25" s="17" t="str">
        <f t="shared" si="1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5"/>
        <v>0</v>
      </c>
      <c r="W25" s="8" t="str">
        <f t="shared" si="6"/>
        <v>0</v>
      </c>
      <c r="X25" s="8">
        <f t="shared" si="7"/>
        <v>0</v>
      </c>
      <c r="Y25" s="25" t="str">
        <f t="shared" si="8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9"/>
        <v>45679</v>
      </c>
      <c r="I26" s="8" t="str">
        <f t="shared" si="0"/>
        <v>Wed</v>
      </c>
      <c r="J26" s="8" t="str">
        <f>IFERROR(VLOOKUP(H26,Sheet1!$A:$B,2,0),"")</f>
        <v/>
      </c>
      <c r="K26" s="8"/>
      <c r="L26" s="8"/>
      <c r="M26" s="17" t="str">
        <f t="shared" si="1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5"/>
        <v>0</v>
      </c>
      <c r="W26" s="8" t="str">
        <f t="shared" si="6"/>
        <v>0</v>
      </c>
      <c r="X26" s="8">
        <f t="shared" si="7"/>
        <v>0</v>
      </c>
      <c r="Y26" s="25" t="str">
        <f t="shared" si="8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9"/>
        <v>45680</v>
      </c>
      <c r="I27" s="8" t="str">
        <f t="shared" si="0"/>
        <v>Thu</v>
      </c>
      <c r="J27" s="8" t="str">
        <f>IFERROR(VLOOKUP(H27,Sheet1!$A:$B,2,0),"")</f>
        <v/>
      </c>
      <c r="K27" s="8"/>
      <c r="L27" s="8"/>
      <c r="M27" s="17" t="str">
        <f t="shared" si="1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5"/>
        <v>0</v>
      </c>
      <c r="W27" s="8" t="str">
        <f t="shared" si="6"/>
        <v>0</v>
      </c>
      <c r="X27" s="8">
        <f t="shared" si="7"/>
        <v>0</v>
      </c>
      <c r="Y27" s="25" t="str">
        <f t="shared" si="8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9"/>
        <v>45681</v>
      </c>
      <c r="I28" s="8" t="str">
        <f t="shared" si="0"/>
        <v>Fri</v>
      </c>
      <c r="J28" s="8" t="str">
        <f>IFERROR(VLOOKUP(H28,Sheet1!$A:$B,2,0),"")</f>
        <v/>
      </c>
      <c r="K28" s="8"/>
      <c r="L28" s="8"/>
      <c r="M28" s="17" t="str">
        <f t="shared" si="1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5"/>
        <v>0</v>
      </c>
      <c r="W28" s="8" t="str">
        <f t="shared" si="6"/>
        <v>0</v>
      </c>
      <c r="X28" s="8">
        <f t="shared" si="7"/>
        <v>0</v>
      </c>
      <c r="Y28" s="25" t="str">
        <f t="shared" si="8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20">
        <f t="shared" si="9"/>
        <v>45682</v>
      </c>
      <c r="I29" s="20" t="str">
        <f t="shared" si="0"/>
        <v>Sat</v>
      </c>
      <c r="J29" s="8" t="str">
        <f>IFERROR(VLOOKUP(H29,Sheet1!$A:$B,2,0),"")</f>
        <v/>
      </c>
      <c r="K29" s="20"/>
      <c r="L29" s="20"/>
      <c r="M29" s="20" t="str">
        <f t="shared" si="1"/>
        <v/>
      </c>
      <c r="N29" s="20"/>
      <c r="O29" s="20"/>
      <c r="P29" s="20" t="str">
        <f t="shared" si="2"/>
        <v/>
      </c>
      <c r="Q29" s="20"/>
      <c r="R29" s="20"/>
      <c r="S29" s="20" t="str">
        <f t="shared" si="3"/>
        <v/>
      </c>
      <c r="T29" s="22"/>
      <c r="U29" s="8">
        <f t="shared" si="4"/>
        <v>0</v>
      </c>
      <c r="V29" s="8">
        <f t="shared" si="5"/>
        <v>0</v>
      </c>
      <c r="W29" s="8" t="str">
        <f t="shared" si="6"/>
        <v>0</v>
      </c>
      <c r="X29" s="8">
        <f t="shared" si="7"/>
        <v>0</v>
      </c>
      <c r="Y29" s="25" t="str">
        <f t="shared" si="8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20">
        <f t="shared" si="9"/>
        <v>45683</v>
      </c>
      <c r="I30" s="21" t="str">
        <f t="shared" si="0"/>
        <v>Sun</v>
      </c>
      <c r="J30" s="8" t="str">
        <f>IFERROR(VLOOKUP(H30,Sheet1!$A:$B,2,0),"")</f>
        <v>Republic Day</v>
      </c>
      <c r="K30" s="21"/>
      <c r="L30" s="21"/>
      <c r="M30" s="21" t="str">
        <f t="shared" si="1"/>
        <v/>
      </c>
      <c r="N30" s="21"/>
      <c r="O30" s="21"/>
      <c r="P30" s="21" t="str">
        <f t="shared" si="2"/>
        <v/>
      </c>
      <c r="Q30" s="21"/>
      <c r="R30" s="21"/>
      <c r="S30" s="21" t="str">
        <f t="shared" si="3"/>
        <v/>
      </c>
      <c r="T30" s="22"/>
      <c r="U30" s="8">
        <f t="shared" si="4"/>
        <v>0</v>
      </c>
      <c r="V30" s="8">
        <f t="shared" si="5"/>
        <v>0</v>
      </c>
      <c r="W30" s="8" t="str">
        <f t="shared" si="6"/>
        <v>0</v>
      </c>
      <c r="X30" s="8">
        <f t="shared" si="7"/>
        <v>0</v>
      </c>
      <c r="Y30" s="25" t="str">
        <f t="shared" si="8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9"/>
        <v>45684</v>
      </c>
      <c r="I31" s="8" t="str">
        <f t="shared" si="0"/>
        <v>Mon</v>
      </c>
      <c r="J31" s="8" t="str">
        <f>IFERROR(VLOOKUP(H31,Sheet1!$A:$B,2,0),"")</f>
        <v/>
      </c>
      <c r="K31" s="8"/>
      <c r="L31" s="8"/>
      <c r="M31" s="17" t="str">
        <f t="shared" si="1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5"/>
        <v>0</v>
      </c>
      <c r="W31" s="8" t="str">
        <f t="shared" si="6"/>
        <v>0</v>
      </c>
      <c r="X31" s="8">
        <f t="shared" si="7"/>
        <v>0</v>
      </c>
      <c r="Y31" s="25" t="str">
        <f t="shared" si="8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9"/>
        <v>45685</v>
      </c>
      <c r="I32" s="8" t="str">
        <f t="shared" si="0"/>
        <v>Tue</v>
      </c>
      <c r="J32" s="8" t="str">
        <f>IFERROR(VLOOKUP(H32,Sheet1!$A:$B,2,0),"")</f>
        <v/>
      </c>
      <c r="K32" s="8"/>
      <c r="L32" s="8"/>
      <c r="M32" s="17" t="str">
        <f t="shared" si="1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5"/>
        <v>0</v>
      </c>
      <c r="W32" s="8" t="str">
        <f t="shared" si="6"/>
        <v>0</v>
      </c>
      <c r="X32" s="8">
        <f t="shared" si="7"/>
        <v>0</v>
      </c>
      <c r="Y32" s="25" t="str">
        <f t="shared" si="8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9"/>
        <v>45686</v>
      </c>
      <c r="I33" s="8" t="str">
        <f t="shared" si="0"/>
        <v>Wed</v>
      </c>
      <c r="J33" s="8" t="str">
        <f>IFERROR(VLOOKUP(H33,Sheet1!$A:$B,2,0),"")</f>
        <v/>
      </c>
      <c r="K33" s="8"/>
      <c r="L33" s="8"/>
      <c r="M33" s="17" t="str">
        <f t="shared" si="1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5"/>
        <v>0</v>
      </c>
      <c r="W33" s="8" t="str">
        <f t="shared" si="6"/>
        <v>0</v>
      </c>
      <c r="X33" s="8">
        <f t="shared" si="7"/>
        <v>0</v>
      </c>
      <c r="Y33" s="25" t="str">
        <f t="shared" si="8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9"/>
        <v>45687</v>
      </c>
      <c r="I34" s="8" t="str">
        <f t="shared" si="0"/>
        <v>Thu</v>
      </c>
      <c r="J34" s="8" t="str">
        <f>IFERROR(VLOOKUP(H34,Sheet1!$A:$B,2,0),"")</f>
        <v/>
      </c>
      <c r="K34" s="8"/>
      <c r="L34" s="8"/>
      <c r="M34" s="17" t="str">
        <f t="shared" si="1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5"/>
        <v>0</v>
      </c>
      <c r="W34" s="8" t="str">
        <f t="shared" si="6"/>
        <v>0</v>
      </c>
      <c r="X34" s="8">
        <f t="shared" si="7"/>
        <v>0</v>
      </c>
      <c r="Y34" s="25" t="str">
        <f t="shared" si="8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9"/>
        <v>45688</v>
      </c>
      <c r="I35" s="8" t="str">
        <f t="shared" si="0"/>
        <v>Fri</v>
      </c>
      <c r="J35" s="8" t="str">
        <f>IFERROR(VLOOKUP(H35,Sheet1!$A:$B,2,0),"")</f>
        <v/>
      </c>
      <c r="K35" s="8"/>
      <c r="L35" s="8"/>
      <c r="M35" s="17" t="str">
        <f t="shared" si="1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5"/>
        <v>0</v>
      </c>
      <c r="W35" s="8" t="str">
        <f t="shared" si="6"/>
        <v>0</v>
      </c>
      <c r="X35" s="8">
        <f t="shared" si="7"/>
        <v>0</v>
      </c>
      <c r="Y35" s="25" t="str">
        <f t="shared" si="8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10">SUM(L5:L35)</f>
        <v>0</v>
      </c>
      <c r="M36" s="26" t="str">
        <f t="shared" ref="M36" si="11">IFERROR(K36/L36,"0")</f>
        <v>0</v>
      </c>
      <c r="N36" s="26">
        <f t="shared" si="10"/>
        <v>0</v>
      </c>
      <c r="O36" s="26">
        <f t="shared" si="10"/>
        <v>0</v>
      </c>
      <c r="P36" s="26" t="str">
        <f t="shared" ref="P36" si="12">IFERROR(N36/O36,"0")</f>
        <v>0</v>
      </c>
      <c r="Q36" s="26">
        <f t="shared" si="10"/>
        <v>0</v>
      </c>
      <c r="R36" s="26">
        <f t="shared" si="10"/>
        <v>0</v>
      </c>
      <c r="S36" s="26" t="str">
        <f t="shared" ref="S36" si="13">IFERROR(Q36/R36,"0")</f>
        <v>0</v>
      </c>
      <c r="T36" s="26">
        <f t="shared" si="10"/>
        <v>0</v>
      </c>
      <c r="U36" s="26">
        <f t="shared" si="10"/>
        <v>0</v>
      </c>
      <c r="V36" s="26">
        <f t="shared" si="10"/>
        <v>0</v>
      </c>
      <c r="W36" s="26" t="str">
        <f t="shared" si="6"/>
        <v>0</v>
      </c>
      <c r="X36" s="26">
        <f t="shared" si="10"/>
        <v>0</v>
      </c>
      <c r="Y36" s="26">
        <f t="shared" si="10"/>
        <v>0</v>
      </c>
    </row>
  </sheetData>
  <mergeCells count="8">
    <mergeCell ref="T3:Y3"/>
    <mergeCell ref="G3:S3"/>
    <mergeCell ref="G36:J36"/>
    <mergeCell ref="B2:E2"/>
    <mergeCell ref="C17:C18"/>
    <mergeCell ref="D17:D18"/>
    <mergeCell ref="C20:C21"/>
    <mergeCell ref="D20:D21"/>
  </mergeCells>
  <conditionalFormatting sqref="D23">
    <cfRule type="cellIs" dxfId="90" priority="1" operator="equal">
      <formula>"No"</formula>
    </cfRule>
    <cfRule type="cellIs" dxfId="89" priority="2" operator="equal">
      <formula>"Yes"</formula>
    </cfRule>
  </conditionalFormatting>
  <conditionalFormatting sqref="H5:S35 K36:L36 N36:O36 Q36:R36 T36:V36 X36:Y36">
    <cfRule type="expression" dxfId="88" priority="3">
      <formula>$J5&lt;&gt;""</formula>
    </cfRule>
    <cfRule type="expression" dxfId="87" priority="4">
      <formula>$J5&lt;&gt;""</formula>
    </cfRule>
    <cfRule type="expression" dxfId="86" priority="5">
      <formula>$J5&lt;&gt;""</formula>
    </cfRule>
    <cfRule type="expression" dxfId="85" priority="6">
      <formula>$I5="Sun"</formula>
    </cfRule>
    <cfRule type="expression" dxfId="84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2BB266-7E54-4106-959B-4C43E3369034}">
          <x14:formula1>
            <xm:f>Sheet1!$D$3:$D$15</xm:f>
          </x14:formula1>
          <xm:sqref>D4</xm:sqref>
        </x14:dataValidation>
        <x14:dataValidation type="list" allowBlank="1" showInputMessage="1" showErrorMessage="1" xr:uid="{4C9A7414-4BD7-4A5E-B359-084F01E2B323}">
          <x14:formula1>
            <xm:f>Sheet1!$E$3:$E$15</xm:f>
          </x14:formula1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4856-F24F-4EC9-8909-C4B8457F3C53}">
  <dimension ref="B2:Y36"/>
  <sheetViews>
    <sheetView showGridLines="0" zoomScale="70" zoomScaleNormal="70" workbookViewId="0">
      <selection activeCell="J5" sqref="J5:J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6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45689</v>
      </c>
      <c r="I5" s="8" t="str">
        <f>TEXT(H5,"DDD")</f>
        <v>Sat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45690</v>
      </c>
      <c r="I6" s="8" t="str">
        <f t="shared" ref="I6:I35" si="1">TEXT(H6,"DDD")</f>
        <v>Sun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45691</v>
      </c>
      <c r="I7" s="8" t="str">
        <f t="shared" si="1"/>
        <v>Mon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45689</v>
      </c>
      <c r="E8" s="9"/>
      <c r="G8" s="8">
        <v>4</v>
      </c>
      <c r="H8" s="7">
        <f t="shared" si="8"/>
        <v>45692</v>
      </c>
      <c r="I8" s="8" t="str">
        <f t="shared" si="1"/>
        <v>Tue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45693</v>
      </c>
      <c r="I9" s="8" t="str">
        <f t="shared" si="1"/>
        <v>Wed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45716</v>
      </c>
      <c r="E10" s="9"/>
      <c r="G10" s="8">
        <v>6</v>
      </c>
      <c r="H10" s="7">
        <f t="shared" si="8"/>
        <v>45694</v>
      </c>
      <c r="I10" s="8" t="str">
        <f t="shared" si="1"/>
        <v>Thu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45695</v>
      </c>
      <c r="I11" s="8" t="str">
        <f t="shared" si="1"/>
        <v>Fri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28</v>
      </c>
      <c r="E12" s="9"/>
      <c r="G12" s="8">
        <v>8</v>
      </c>
      <c r="H12" s="7">
        <f t="shared" si="8"/>
        <v>45696</v>
      </c>
      <c r="I12" s="8" t="str">
        <f t="shared" si="1"/>
        <v>Sat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45697</v>
      </c>
      <c r="I13" s="8" t="str">
        <f t="shared" si="1"/>
        <v>Sun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45698</v>
      </c>
      <c r="I14" s="8" t="str">
        <f t="shared" si="1"/>
        <v>Mon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45699</v>
      </c>
      <c r="I15" s="8" t="str">
        <f t="shared" si="1"/>
        <v>Tue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45700</v>
      </c>
      <c r="I16" s="8" t="str">
        <f t="shared" si="1"/>
        <v>Wed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45701</v>
      </c>
      <c r="I17" s="8" t="str">
        <f t="shared" si="1"/>
        <v>Thu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45702</v>
      </c>
      <c r="I18" s="8" t="str">
        <f t="shared" si="1"/>
        <v>Fri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45703</v>
      </c>
      <c r="I19" s="8" t="str">
        <f t="shared" si="1"/>
        <v>Sat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45704</v>
      </c>
      <c r="I20" s="8" t="str">
        <f t="shared" si="1"/>
        <v>Sun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45705</v>
      </c>
      <c r="I21" s="8" t="str">
        <f t="shared" si="1"/>
        <v>Mon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45706</v>
      </c>
      <c r="I22" s="8" t="str">
        <f t="shared" si="1"/>
        <v>Tue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45707</v>
      </c>
      <c r="I23" s="8" t="str">
        <f t="shared" si="1"/>
        <v>Wed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45708</v>
      </c>
      <c r="I24" s="8" t="str">
        <f t="shared" si="1"/>
        <v>Thu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45709</v>
      </c>
      <c r="I25" s="8" t="str">
        <f t="shared" si="1"/>
        <v>Fri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45710</v>
      </c>
      <c r="I26" s="8" t="str">
        <f t="shared" si="1"/>
        <v>Sat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45711</v>
      </c>
      <c r="I27" s="8" t="str">
        <f t="shared" si="1"/>
        <v>Sun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45712</v>
      </c>
      <c r="I28" s="8" t="str">
        <f t="shared" si="1"/>
        <v>Mon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45713</v>
      </c>
      <c r="I29" s="8" t="str">
        <f t="shared" si="1"/>
        <v>Tue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45714</v>
      </c>
      <c r="I30" s="8" t="str">
        <f t="shared" si="1"/>
        <v>Wed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45715</v>
      </c>
      <c r="I31" s="8" t="str">
        <f t="shared" si="1"/>
        <v>Thu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45716</v>
      </c>
      <c r="I32" s="8" t="str">
        <f t="shared" si="1"/>
        <v>Fri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 t="str">
        <f t="shared" si="8"/>
        <v/>
      </c>
      <c r="I33" s="8" t="str">
        <f t="shared" si="1"/>
        <v/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 t="str">
        <f t="shared" si="8"/>
        <v/>
      </c>
      <c r="I34" s="8" t="str">
        <f t="shared" si="1"/>
        <v/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 t="str">
        <f t="shared" si="8"/>
        <v/>
      </c>
      <c r="I35" s="8" t="str">
        <f t="shared" si="1"/>
        <v/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83" priority="1" operator="equal">
      <formula>"No"</formula>
    </cfRule>
    <cfRule type="cellIs" dxfId="82" priority="2" operator="equal">
      <formula>"Yes"</formula>
    </cfRule>
  </conditionalFormatting>
  <conditionalFormatting sqref="H5:S35 K36:L36 N36:O36 Q36:R36 T36:V36 X36:Y36">
    <cfRule type="expression" dxfId="81" priority="3">
      <formula>$J5&lt;&gt;""</formula>
    </cfRule>
    <cfRule type="expression" dxfId="80" priority="4">
      <formula>$J5&lt;&gt;""</formula>
    </cfRule>
    <cfRule type="expression" dxfId="79" priority="5">
      <formula>$J5&lt;&gt;""</formula>
    </cfRule>
    <cfRule type="expression" dxfId="78" priority="6">
      <formula>$I5="Sun"</formula>
    </cfRule>
    <cfRule type="expression" dxfId="77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14C199-1D2B-45B7-93A0-FBCD732FACFD}">
          <x14:formula1>
            <xm:f>Sheet1!$E$3:$E$15</xm:f>
          </x14:formula1>
          <xm:sqref>D6</xm:sqref>
        </x14:dataValidation>
        <x14:dataValidation type="list" allowBlank="1" showInputMessage="1" showErrorMessage="1" xr:uid="{422A568A-1EE0-4DFE-A409-D9980B8BA4A0}">
          <x14:formula1>
            <xm:f>Sheet1!$D$3:$D$15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DD06-0656-4498-8623-45E351644D0E}">
  <dimension ref="B2:Y36"/>
  <sheetViews>
    <sheetView showGridLines="0" zoomScale="70" zoomScaleNormal="70" workbookViewId="0">
      <selection activeCell="J5" sqref="J5:J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7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45717</v>
      </c>
      <c r="I5" s="8" t="str">
        <f>TEXT(H5,"DDD")</f>
        <v>Sat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45718</v>
      </c>
      <c r="I6" s="8" t="str">
        <f t="shared" ref="I6:I35" si="1">TEXT(H6,"DDD")</f>
        <v>Sun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45719</v>
      </c>
      <c r="I7" s="8" t="str">
        <f t="shared" si="1"/>
        <v>Mon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45717</v>
      </c>
      <c r="E8" s="9"/>
      <c r="G8" s="8">
        <v>4</v>
      </c>
      <c r="H8" s="7">
        <f t="shared" si="8"/>
        <v>45720</v>
      </c>
      <c r="I8" s="8" t="str">
        <f t="shared" si="1"/>
        <v>Tue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45721</v>
      </c>
      <c r="I9" s="8" t="str">
        <f t="shared" si="1"/>
        <v>Wed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45747</v>
      </c>
      <c r="E10" s="9"/>
      <c r="G10" s="8">
        <v>6</v>
      </c>
      <c r="H10" s="7">
        <f t="shared" si="8"/>
        <v>45722</v>
      </c>
      <c r="I10" s="8" t="str">
        <f t="shared" si="1"/>
        <v>Thu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45723</v>
      </c>
      <c r="I11" s="8" t="str">
        <f t="shared" si="1"/>
        <v>Fri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8"/>
        <v>45724</v>
      </c>
      <c r="I12" s="8" t="str">
        <f t="shared" si="1"/>
        <v>Sat</v>
      </c>
      <c r="J12" s="8" t="str">
        <f>IFERROR(VLOOKUP(H12,Sheet1!$A:$B,2,0),"")</f>
        <v>Holi</v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45725</v>
      </c>
      <c r="I13" s="8" t="str">
        <f t="shared" si="1"/>
        <v>Sun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5</v>
      </c>
      <c r="E14" s="9"/>
      <c r="G14" s="8">
        <v>10</v>
      </c>
      <c r="H14" s="7">
        <f t="shared" si="8"/>
        <v>45726</v>
      </c>
      <c r="I14" s="8" t="str">
        <f t="shared" si="1"/>
        <v>Mon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5</v>
      </c>
      <c r="E15" s="9"/>
      <c r="G15" s="8">
        <v>11</v>
      </c>
      <c r="H15" s="7">
        <f t="shared" si="8"/>
        <v>45727</v>
      </c>
      <c r="I15" s="8" t="str">
        <f t="shared" si="1"/>
        <v>Tue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45728</v>
      </c>
      <c r="I16" s="8" t="str">
        <f t="shared" si="1"/>
        <v>Wed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45729</v>
      </c>
      <c r="I17" s="8" t="str">
        <f t="shared" si="1"/>
        <v>Thu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45730</v>
      </c>
      <c r="I18" s="8" t="str">
        <f t="shared" si="1"/>
        <v>Fri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45731</v>
      </c>
      <c r="I19" s="8" t="str">
        <f t="shared" si="1"/>
        <v>Sat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45732</v>
      </c>
      <c r="I20" s="8" t="str">
        <f t="shared" si="1"/>
        <v>Sun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45733</v>
      </c>
      <c r="I21" s="8" t="str">
        <f t="shared" si="1"/>
        <v>Mon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45734</v>
      </c>
      <c r="I22" s="8" t="str">
        <f t="shared" si="1"/>
        <v>Tue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45735</v>
      </c>
      <c r="I23" s="8" t="str">
        <f t="shared" si="1"/>
        <v>Wed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45736</v>
      </c>
      <c r="I24" s="8" t="str">
        <f t="shared" si="1"/>
        <v>Thu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45737</v>
      </c>
      <c r="I25" s="8" t="str">
        <f t="shared" si="1"/>
        <v>Fri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45738</v>
      </c>
      <c r="I26" s="8" t="str">
        <f t="shared" si="1"/>
        <v>Sat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45739</v>
      </c>
      <c r="I27" s="8" t="str">
        <f t="shared" si="1"/>
        <v>Sun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45740</v>
      </c>
      <c r="I28" s="8" t="str">
        <f t="shared" si="1"/>
        <v>Mon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45741</v>
      </c>
      <c r="I29" s="8" t="str">
        <f t="shared" si="1"/>
        <v>Tue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45742</v>
      </c>
      <c r="I30" s="8" t="str">
        <f t="shared" si="1"/>
        <v>Wed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45743</v>
      </c>
      <c r="I31" s="8" t="str">
        <f t="shared" si="1"/>
        <v>Thu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45744</v>
      </c>
      <c r="I32" s="8" t="str">
        <f t="shared" si="1"/>
        <v>Fri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45745</v>
      </c>
      <c r="I33" s="8" t="str">
        <f t="shared" si="1"/>
        <v>Sat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45746</v>
      </c>
      <c r="I34" s="8" t="str">
        <f t="shared" si="1"/>
        <v>Sun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8"/>
        <v>45747</v>
      </c>
      <c r="I35" s="8" t="str">
        <f t="shared" si="1"/>
        <v>Mon</v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76" priority="1" operator="equal">
      <formula>"No"</formula>
    </cfRule>
    <cfRule type="cellIs" dxfId="75" priority="2" operator="equal">
      <formula>"Yes"</formula>
    </cfRule>
  </conditionalFormatting>
  <conditionalFormatting sqref="H5:S35 K36:L36 N36:O36 Q36:R36 T36:V36 X36:Y36">
    <cfRule type="expression" dxfId="74" priority="3">
      <formula>$J5&lt;&gt;""</formula>
    </cfRule>
    <cfRule type="expression" dxfId="73" priority="4">
      <formula>$J5&lt;&gt;""</formula>
    </cfRule>
    <cfRule type="expression" dxfId="72" priority="5">
      <formula>$J5&lt;&gt;""</formula>
    </cfRule>
    <cfRule type="expression" dxfId="71" priority="6">
      <formula>$I5="Sun"</formula>
    </cfRule>
    <cfRule type="expression" dxfId="70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95F2A4-085F-4FB8-8FAC-EAE330E631F6}">
          <x14:formula1>
            <xm:f>Sheet1!$D$3:$D$15</xm:f>
          </x14:formula1>
          <xm:sqref>D4</xm:sqref>
        </x14:dataValidation>
        <x14:dataValidation type="list" allowBlank="1" showInputMessage="1" showErrorMessage="1" xr:uid="{6450E776-3406-475A-9D20-1CA2104F8A6E}">
          <x14:formula1>
            <xm:f>Sheet1!$E$3:$E$15</xm:f>
          </x14:formula1>
          <xm:sqref>D6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FAA8-9C1D-400A-B0A9-BE7E7E31EF9B}">
  <dimension ref="B2:Y36"/>
  <sheetViews>
    <sheetView showGridLines="0" zoomScale="70" zoomScaleNormal="70" workbookViewId="0">
      <selection activeCell="J5" sqref="J5:J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8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45748</v>
      </c>
      <c r="I5" s="8" t="str">
        <f>TEXT(H5,"DDD")</f>
        <v>Tue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45749</v>
      </c>
      <c r="I6" s="8" t="str">
        <f t="shared" ref="I6:I35" si="1">TEXT(H6,"DDD")</f>
        <v>Wed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45750</v>
      </c>
      <c r="I7" s="8" t="str">
        <f t="shared" si="1"/>
        <v>Thu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45748</v>
      </c>
      <c r="E8" s="9"/>
      <c r="G8" s="8">
        <v>4</v>
      </c>
      <c r="H8" s="7">
        <f t="shared" si="8"/>
        <v>45751</v>
      </c>
      <c r="I8" s="8" t="str">
        <f t="shared" si="1"/>
        <v>Fri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45752</v>
      </c>
      <c r="I9" s="8" t="str">
        <f t="shared" si="1"/>
        <v>Sat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45777</v>
      </c>
      <c r="E10" s="9"/>
      <c r="G10" s="8">
        <v>6</v>
      </c>
      <c r="H10" s="7">
        <f t="shared" si="8"/>
        <v>45753</v>
      </c>
      <c r="I10" s="8" t="str">
        <f t="shared" si="1"/>
        <v>Sun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45754</v>
      </c>
      <c r="I11" s="8" t="str">
        <f t="shared" si="1"/>
        <v>Mon</v>
      </c>
      <c r="J11" s="8" t="str">
        <f>IFERROR(VLOOKUP(H11,Sheet1!$A:$B,2,0),"")</f>
        <v>Good Friday</v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30</v>
      </c>
      <c r="E12" s="9"/>
      <c r="G12" s="8">
        <v>8</v>
      </c>
      <c r="H12" s="7">
        <f t="shared" si="8"/>
        <v>45755</v>
      </c>
      <c r="I12" s="8" t="str">
        <f t="shared" si="1"/>
        <v>Tue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45756</v>
      </c>
      <c r="I13" s="8" t="str">
        <f t="shared" si="1"/>
        <v>Wed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45757</v>
      </c>
      <c r="I14" s="8" t="str">
        <f t="shared" si="1"/>
        <v>Thu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45758</v>
      </c>
      <c r="I15" s="8" t="str">
        <f t="shared" si="1"/>
        <v>Fri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45759</v>
      </c>
      <c r="I16" s="8" t="str">
        <f t="shared" si="1"/>
        <v>Sat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45760</v>
      </c>
      <c r="I17" s="8" t="str">
        <f t="shared" si="1"/>
        <v>Sun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45761</v>
      </c>
      <c r="I18" s="8" t="str">
        <f t="shared" si="1"/>
        <v>Mon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45762</v>
      </c>
      <c r="I19" s="8" t="str">
        <f t="shared" si="1"/>
        <v>Tue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45763</v>
      </c>
      <c r="I20" s="8" t="str">
        <f t="shared" si="1"/>
        <v>Wed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45764</v>
      </c>
      <c r="I21" s="8" t="str">
        <f t="shared" si="1"/>
        <v>Thu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45765</v>
      </c>
      <c r="I22" s="8" t="str">
        <f t="shared" si="1"/>
        <v>Fri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45766</v>
      </c>
      <c r="I23" s="8" t="str">
        <f t="shared" si="1"/>
        <v>Sat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45767</v>
      </c>
      <c r="I24" s="8" t="str">
        <f t="shared" si="1"/>
        <v>Sun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45768</v>
      </c>
      <c r="I25" s="8" t="str">
        <f t="shared" si="1"/>
        <v>Mon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45769</v>
      </c>
      <c r="I26" s="8" t="str">
        <f t="shared" si="1"/>
        <v>Tue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45770</v>
      </c>
      <c r="I27" s="8" t="str">
        <f t="shared" si="1"/>
        <v>Wed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45771</v>
      </c>
      <c r="I28" s="8" t="str">
        <f t="shared" si="1"/>
        <v>Thu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45772</v>
      </c>
      <c r="I29" s="8" t="str">
        <f t="shared" si="1"/>
        <v>Fri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45773</v>
      </c>
      <c r="I30" s="8" t="str">
        <f t="shared" si="1"/>
        <v>Sat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45774</v>
      </c>
      <c r="I31" s="8" t="str">
        <f t="shared" si="1"/>
        <v>Sun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45775</v>
      </c>
      <c r="I32" s="8" t="str">
        <f t="shared" si="1"/>
        <v>Mon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45776</v>
      </c>
      <c r="I33" s="8" t="str">
        <f t="shared" si="1"/>
        <v>Tue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45777</v>
      </c>
      <c r="I34" s="8" t="str">
        <f t="shared" si="1"/>
        <v>Wed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 t="str">
        <f t="shared" si="8"/>
        <v/>
      </c>
      <c r="I35" s="8" t="str">
        <f t="shared" si="1"/>
        <v/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69" priority="1" operator="equal">
      <formula>"No"</formula>
    </cfRule>
    <cfRule type="cellIs" dxfId="68" priority="2" operator="equal">
      <formula>"Yes"</formula>
    </cfRule>
  </conditionalFormatting>
  <conditionalFormatting sqref="H5:S35 K36:L36 N36:O36 Q36:R36 T36:V36 X36:Y36">
    <cfRule type="expression" dxfId="67" priority="3">
      <formula>$J5&lt;&gt;""</formula>
    </cfRule>
    <cfRule type="expression" dxfId="66" priority="4">
      <formula>$J5&lt;&gt;""</formula>
    </cfRule>
    <cfRule type="expression" dxfId="65" priority="5">
      <formula>$J5&lt;&gt;""</formula>
    </cfRule>
    <cfRule type="expression" dxfId="64" priority="6">
      <formula>$I5="Sun"</formula>
    </cfRule>
    <cfRule type="expression" dxfId="63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2CB716-F6D1-4AF0-B3A5-FB90E137A78B}">
          <x14:formula1>
            <xm:f>Sheet1!$E$3:$E$15</xm:f>
          </x14:formula1>
          <xm:sqref>D6</xm:sqref>
        </x14:dataValidation>
        <x14:dataValidation type="list" allowBlank="1" showInputMessage="1" showErrorMessage="1" xr:uid="{72493651-1510-4CA1-B297-FA2C541C7CC8}">
          <x14:formula1>
            <xm:f>Sheet1!$D$3:$D$15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8367-8319-4F6A-914F-0517942048DC}">
  <dimension ref="B2:Y36"/>
  <sheetViews>
    <sheetView showGridLines="0" zoomScale="70" zoomScaleNormal="70" workbookViewId="0">
      <selection activeCell="J5" sqref="J5:J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9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45778</v>
      </c>
      <c r="I5" s="8" t="str">
        <f>TEXT(H5,"DDD")</f>
        <v>Thu</v>
      </c>
      <c r="J5" s="8" t="str">
        <f>IFERROR(VLOOKUP(H5,Sheet1!$A:$B,2,0),"")</f>
        <v>Labour Day</v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45779</v>
      </c>
      <c r="I6" s="8" t="str">
        <f t="shared" ref="I6:I35" si="1">TEXT(H6,"DDD")</f>
        <v>Fri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45780</v>
      </c>
      <c r="I7" s="8" t="str">
        <f t="shared" si="1"/>
        <v>Sat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45778</v>
      </c>
      <c r="E8" s="9"/>
      <c r="G8" s="8">
        <v>4</v>
      </c>
      <c r="H8" s="7">
        <f t="shared" si="8"/>
        <v>45781</v>
      </c>
      <c r="I8" s="8" t="str">
        <f t="shared" si="1"/>
        <v>Sun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45782</v>
      </c>
      <c r="I9" s="8" t="str">
        <f t="shared" si="1"/>
        <v>Mon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45808</v>
      </c>
      <c r="E10" s="9"/>
      <c r="G10" s="8">
        <v>6</v>
      </c>
      <c r="H10" s="7">
        <f t="shared" si="8"/>
        <v>45783</v>
      </c>
      <c r="I10" s="8" t="str">
        <f t="shared" si="1"/>
        <v>Tue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45784</v>
      </c>
      <c r="I11" s="8" t="str">
        <f t="shared" si="1"/>
        <v>Wed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8"/>
        <v>45785</v>
      </c>
      <c r="I12" s="8" t="str">
        <f t="shared" si="1"/>
        <v>Thu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45786</v>
      </c>
      <c r="I13" s="8" t="str">
        <f t="shared" si="1"/>
        <v>Fri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5</v>
      </c>
      <c r="E14" s="9"/>
      <c r="G14" s="8">
        <v>10</v>
      </c>
      <c r="H14" s="7">
        <f t="shared" si="8"/>
        <v>45787</v>
      </c>
      <c r="I14" s="8" t="str">
        <f t="shared" si="1"/>
        <v>Sat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45788</v>
      </c>
      <c r="I15" s="8" t="str">
        <f t="shared" si="1"/>
        <v>Sun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45789</v>
      </c>
      <c r="I16" s="8" t="str">
        <f t="shared" si="1"/>
        <v>Mon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45790</v>
      </c>
      <c r="I17" s="8" t="str">
        <f t="shared" si="1"/>
        <v>Tue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45791</v>
      </c>
      <c r="I18" s="8" t="str">
        <f t="shared" si="1"/>
        <v>Wed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45792</v>
      </c>
      <c r="I19" s="8" t="str">
        <f t="shared" si="1"/>
        <v>Thu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45793</v>
      </c>
      <c r="I20" s="8" t="str">
        <f t="shared" si="1"/>
        <v>Fri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45794</v>
      </c>
      <c r="I21" s="8" t="str">
        <f t="shared" si="1"/>
        <v>Sat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45795</v>
      </c>
      <c r="I22" s="8" t="str">
        <f t="shared" si="1"/>
        <v>Sun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45796</v>
      </c>
      <c r="I23" s="8" t="str">
        <f t="shared" si="1"/>
        <v>Mon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45797</v>
      </c>
      <c r="I24" s="8" t="str">
        <f t="shared" si="1"/>
        <v>Tue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45798</v>
      </c>
      <c r="I25" s="8" t="str">
        <f t="shared" si="1"/>
        <v>Wed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45799</v>
      </c>
      <c r="I26" s="8" t="str">
        <f t="shared" si="1"/>
        <v>Thu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45800</v>
      </c>
      <c r="I27" s="8" t="str">
        <f t="shared" si="1"/>
        <v>Fri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45801</v>
      </c>
      <c r="I28" s="8" t="str">
        <f t="shared" si="1"/>
        <v>Sat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45802</v>
      </c>
      <c r="I29" s="8" t="str">
        <f t="shared" si="1"/>
        <v>Sun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45803</v>
      </c>
      <c r="I30" s="8" t="str">
        <f t="shared" si="1"/>
        <v>Mon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45804</v>
      </c>
      <c r="I31" s="8" t="str">
        <f t="shared" si="1"/>
        <v>Tue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45805</v>
      </c>
      <c r="I32" s="8" t="str">
        <f t="shared" si="1"/>
        <v>Wed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45806</v>
      </c>
      <c r="I33" s="8" t="str">
        <f t="shared" si="1"/>
        <v>Thu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45807</v>
      </c>
      <c r="I34" s="8" t="str">
        <f t="shared" si="1"/>
        <v>Fri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8"/>
        <v>45808</v>
      </c>
      <c r="I35" s="8" t="str">
        <f t="shared" si="1"/>
        <v>Sat</v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62" priority="1" operator="equal">
      <formula>"No"</formula>
    </cfRule>
    <cfRule type="cellIs" dxfId="61" priority="2" operator="equal">
      <formula>"Yes"</formula>
    </cfRule>
  </conditionalFormatting>
  <conditionalFormatting sqref="H5:S35 K36:L36 N36:O36 Q36:R36 T36:V36 X36:Y36">
    <cfRule type="expression" dxfId="60" priority="3">
      <formula>$J5&lt;&gt;""</formula>
    </cfRule>
    <cfRule type="expression" dxfId="59" priority="4">
      <formula>$J5&lt;&gt;""</formula>
    </cfRule>
    <cfRule type="expression" dxfId="58" priority="5">
      <formula>$J5&lt;&gt;""</formula>
    </cfRule>
    <cfRule type="expression" dxfId="57" priority="6">
      <formula>$I5="Sun"</formula>
    </cfRule>
    <cfRule type="expression" dxfId="56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F5601B-4333-4F68-8785-B8385D987A0C}">
          <x14:formula1>
            <xm:f>Sheet1!$D$3:$D$15</xm:f>
          </x14:formula1>
          <xm:sqref>D4</xm:sqref>
        </x14:dataValidation>
        <x14:dataValidation type="list" allowBlank="1" showInputMessage="1" showErrorMessage="1" xr:uid="{A460EDDE-03EE-45CF-AEB8-CB1480D35568}">
          <x14:formula1>
            <xm:f>Sheet1!$E$3:$E$15</xm:f>
          </x14:formula1>
          <xm:sqref>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C7E-82BC-4D98-91F9-49C460DF9019}">
  <dimension ref="B2:Y36"/>
  <sheetViews>
    <sheetView showGridLines="0" zoomScale="70" zoomScaleNormal="70" workbookViewId="0">
      <selection activeCell="S5" sqref="S5:S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10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45809</v>
      </c>
      <c r="I5" s="8" t="str">
        <f>TEXT(H5,"DDD")</f>
        <v>Sun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45810</v>
      </c>
      <c r="I6" s="8" t="str">
        <f t="shared" ref="I6:I35" si="1">TEXT(H6,"DDD")</f>
        <v>Mon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45811</v>
      </c>
      <c r="I7" s="8" t="str">
        <f t="shared" si="1"/>
        <v>Tue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45809</v>
      </c>
      <c r="E8" s="9"/>
      <c r="G8" s="8">
        <v>4</v>
      </c>
      <c r="H8" s="7">
        <f t="shared" si="8"/>
        <v>45812</v>
      </c>
      <c r="I8" s="8" t="str">
        <f t="shared" si="1"/>
        <v>Wed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45813</v>
      </c>
      <c r="I9" s="8" t="str">
        <f t="shared" si="1"/>
        <v>Thu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45838</v>
      </c>
      <c r="E10" s="9"/>
      <c r="G10" s="8">
        <v>6</v>
      </c>
      <c r="H10" s="7">
        <f t="shared" si="8"/>
        <v>45814</v>
      </c>
      <c r="I10" s="8" t="str">
        <f t="shared" si="1"/>
        <v>Fri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45815</v>
      </c>
      <c r="I11" s="8" t="str">
        <f t="shared" si="1"/>
        <v>Sat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30</v>
      </c>
      <c r="E12" s="9"/>
      <c r="G12" s="8">
        <v>8</v>
      </c>
      <c r="H12" s="7">
        <f t="shared" si="8"/>
        <v>45816</v>
      </c>
      <c r="I12" s="8" t="str">
        <f t="shared" si="1"/>
        <v>Sun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45817</v>
      </c>
      <c r="I13" s="8" t="str">
        <f t="shared" si="1"/>
        <v>Mon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45818</v>
      </c>
      <c r="I14" s="8" t="str">
        <f t="shared" si="1"/>
        <v>Tue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5</v>
      </c>
      <c r="E15" s="9"/>
      <c r="G15" s="8">
        <v>11</v>
      </c>
      <c r="H15" s="7">
        <f t="shared" si="8"/>
        <v>45819</v>
      </c>
      <c r="I15" s="8" t="str">
        <f t="shared" si="1"/>
        <v>Wed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45820</v>
      </c>
      <c r="I16" s="8" t="str">
        <f t="shared" si="1"/>
        <v>Thu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45821</v>
      </c>
      <c r="I17" s="8" t="str">
        <f t="shared" si="1"/>
        <v>Fri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45822</v>
      </c>
      <c r="I18" s="8" t="str">
        <f t="shared" si="1"/>
        <v>Sat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45823</v>
      </c>
      <c r="I19" s="8" t="str">
        <f t="shared" si="1"/>
        <v>Sun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45824</v>
      </c>
      <c r="I20" s="8" t="str">
        <f t="shared" si="1"/>
        <v>Mon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45825</v>
      </c>
      <c r="I21" s="8" t="str">
        <f t="shared" si="1"/>
        <v>Tue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45826</v>
      </c>
      <c r="I22" s="8" t="str">
        <f t="shared" si="1"/>
        <v>Wed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45827</v>
      </c>
      <c r="I23" s="8" t="str">
        <f t="shared" si="1"/>
        <v>Thu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45828</v>
      </c>
      <c r="I24" s="8" t="str">
        <f t="shared" si="1"/>
        <v>Fri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45829</v>
      </c>
      <c r="I25" s="8" t="str">
        <f t="shared" si="1"/>
        <v>Sat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45830</v>
      </c>
      <c r="I26" s="8" t="str">
        <f t="shared" si="1"/>
        <v>Sun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45831</v>
      </c>
      <c r="I27" s="8" t="str">
        <f t="shared" si="1"/>
        <v>Mon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45832</v>
      </c>
      <c r="I28" s="8" t="str">
        <f t="shared" si="1"/>
        <v>Tue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45833</v>
      </c>
      <c r="I29" s="8" t="str">
        <f t="shared" si="1"/>
        <v>Wed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45834</v>
      </c>
      <c r="I30" s="8" t="str">
        <f t="shared" si="1"/>
        <v>Thu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45835</v>
      </c>
      <c r="I31" s="8" t="str">
        <f t="shared" si="1"/>
        <v>Fri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45836</v>
      </c>
      <c r="I32" s="8" t="str">
        <f t="shared" si="1"/>
        <v>Sat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45837</v>
      </c>
      <c r="I33" s="8" t="str">
        <f t="shared" si="1"/>
        <v>Sun</v>
      </c>
      <c r="J33" s="8" t="str">
        <f>IFERROR(VLOOKUP(H33,Sheet1!$A:$B,2,0),"")</f>
        <v>Bakrid</v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45838</v>
      </c>
      <c r="I34" s="8" t="str">
        <f t="shared" si="1"/>
        <v>Mon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 t="str">
        <f t="shared" si="8"/>
        <v/>
      </c>
      <c r="I35" s="8" t="str">
        <f t="shared" si="1"/>
        <v/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55" priority="1" operator="equal">
      <formula>"No"</formula>
    </cfRule>
    <cfRule type="cellIs" dxfId="54" priority="2" operator="equal">
      <formula>"Yes"</formula>
    </cfRule>
  </conditionalFormatting>
  <conditionalFormatting sqref="H5:S35 K36:L36 N36:O36 Q36:R36 T36:V36 X36:Y36">
    <cfRule type="expression" dxfId="53" priority="3">
      <formula>$J5&lt;&gt;""</formula>
    </cfRule>
    <cfRule type="expression" dxfId="52" priority="4">
      <formula>$J5&lt;&gt;""</formula>
    </cfRule>
    <cfRule type="expression" dxfId="51" priority="5">
      <formula>$J5&lt;&gt;""</formula>
    </cfRule>
    <cfRule type="expression" dxfId="50" priority="6">
      <formula>$I5="Sun"</formula>
    </cfRule>
    <cfRule type="expression" dxfId="49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73F396-B98C-428F-BE31-1707DA2EFF7C}">
          <x14:formula1>
            <xm:f>Sheet1!$E$3:$E$15</xm:f>
          </x14:formula1>
          <xm:sqref>D6</xm:sqref>
        </x14:dataValidation>
        <x14:dataValidation type="list" allowBlank="1" showInputMessage="1" showErrorMessage="1" xr:uid="{1ACCAED9-8F96-433C-BF30-47C17A5766EF}">
          <x14:formula1>
            <xm:f>Sheet1!$D$3:$D$15</xm:f>
          </x14:formula1>
          <xm:sqref>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D521-73E9-4EBF-ACC4-960F11327F0B}">
  <dimension ref="B2:Y36"/>
  <sheetViews>
    <sheetView showGridLines="0" zoomScale="70" zoomScaleNormal="70" workbookViewId="0">
      <selection activeCell="S5" sqref="S5:S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11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45839</v>
      </c>
      <c r="I5" s="8" t="str">
        <f>TEXT(H5,"DDD")</f>
        <v>Tue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45840</v>
      </c>
      <c r="I6" s="8" t="str">
        <f t="shared" ref="I6:I35" si="1">TEXT(H6,"DDD")</f>
        <v>Wed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45841</v>
      </c>
      <c r="I7" s="8" t="str">
        <f t="shared" si="1"/>
        <v>Thu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45839</v>
      </c>
      <c r="E8" s="9"/>
      <c r="G8" s="8">
        <v>4</v>
      </c>
      <c r="H8" s="7">
        <f t="shared" si="8"/>
        <v>45842</v>
      </c>
      <c r="I8" s="8" t="str">
        <f t="shared" si="1"/>
        <v>Fri</v>
      </c>
      <c r="J8" s="20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45843</v>
      </c>
      <c r="I9" s="8" t="str">
        <f t="shared" si="1"/>
        <v>Sat</v>
      </c>
      <c r="J9" s="21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45869</v>
      </c>
      <c r="E10" s="9"/>
      <c r="G10" s="8">
        <v>6</v>
      </c>
      <c r="H10" s="7">
        <f t="shared" si="8"/>
        <v>45844</v>
      </c>
      <c r="I10" s="8" t="str">
        <f t="shared" si="1"/>
        <v>Sun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45845</v>
      </c>
      <c r="I11" s="8" t="str">
        <f t="shared" si="1"/>
        <v>Mon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8"/>
        <v>45846</v>
      </c>
      <c r="I12" s="8" t="str">
        <f t="shared" si="1"/>
        <v>Tue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45847</v>
      </c>
      <c r="I13" s="8" t="str">
        <f t="shared" si="1"/>
        <v>Wed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45848</v>
      </c>
      <c r="I14" s="8" t="str">
        <f t="shared" si="1"/>
        <v>Thu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45849</v>
      </c>
      <c r="I15" s="8" t="str">
        <f t="shared" si="1"/>
        <v>Fri</v>
      </c>
      <c r="J15" s="20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45850</v>
      </c>
      <c r="I16" s="8" t="str">
        <f t="shared" si="1"/>
        <v>Sat</v>
      </c>
      <c r="J16" s="21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45851</v>
      </c>
      <c r="I17" s="8" t="str">
        <f t="shared" si="1"/>
        <v>Sun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45852</v>
      </c>
      <c r="I18" s="8" t="str">
        <f t="shared" si="1"/>
        <v>Mon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45853</v>
      </c>
      <c r="I19" s="8" t="str">
        <f t="shared" si="1"/>
        <v>Tue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45854</v>
      </c>
      <c r="I20" s="8" t="str">
        <f t="shared" si="1"/>
        <v>Wed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45855</v>
      </c>
      <c r="I21" s="8" t="str">
        <f t="shared" si="1"/>
        <v>Thu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45856</v>
      </c>
      <c r="I22" s="8" t="str">
        <f t="shared" si="1"/>
        <v>Fri</v>
      </c>
      <c r="J22" s="20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45857</v>
      </c>
      <c r="I23" s="8" t="str">
        <f t="shared" si="1"/>
        <v>Sat</v>
      </c>
      <c r="J23" s="21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45858</v>
      </c>
      <c r="I24" s="8" t="str">
        <f t="shared" si="1"/>
        <v>Sun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45859</v>
      </c>
      <c r="I25" s="8" t="str">
        <f t="shared" si="1"/>
        <v>Mon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45860</v>
      </c>
      <c r="I26" s="8" t="str">
        <f t="shared" si="1"/>
        <v>Tue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45861</v>
      </c>
      <c r="I27" s="8" t="str">
        <f t="shared" si="1"/>
        <v>Wed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45862</v>
      </c>
      <c r="I28" s="8" t="str">
        <f t="shared" si="1"/>
        <v>Thu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45863</v>
      </c>
      <c r="I29" s="8" t="str">
        <f t="shared" si="1"/>
        <v>Fri</v>
      </c>
      <c r="J29" s="20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45864</v>
      </c>
      <c r="I30" s="8" t="str">
        <f t="shared" si="1"/>
        <v>Sat</v>
      </c>
      <c r="J30" s="21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45865</v>
      </c>
      <c r="I31" s="8" t="str">
        <f t="shared" si="1"/>
        <v>Sun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45866</v>
      </c>
      <c r="I32" s="8" t="str">
        <f t="shared" si="1"/>
        <v>Mon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45867</v>
      </c>
      <c r="I33" s="8" t="str">
        <f t="shared" si="1"/>
        <v>Tue</v>
      </c>
      <c r="J33" s="8" t="str">
        <f>IFERROR(VLOOKUP(H33,Sheet1!$A:$B,2,0),"")</f>
        <v>Muharram</v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45868</v>
      </c>
      <c r="I34" s="8" t="str">
        <f t="shared" si="1"/>
        <v>Wed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8"/>
        <v>45869</v>
      </c>
      <c r="I35" s="8" t="str">
        <f t="shared" si="1"/>
        <v>Thu</v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48" priority="1" operator="equal">
      <formula>"No"</formula>
    </cfRule>
    <cfRule type="cellIs" dxfId="47" priority="2" operator="equal">
      <formula>"Yes"</formula>
    </cfRule>
  </conditionalFormatting>
  <conditionalFormatting sqref="H5:S35 K36:L36 N36:O36 Q36:R36 T36:V36 X36:Y36">
    <cfRule type="expression" dxfId="46" priority="3">
      <formula>$J5&lt;&gt;""</formula>
    </cfRule>
    <cfRule type="expression" dxfId="45" priority="4">
      <formula>$J5&lt;&gt;""</formula>
    </cfRule>
    <cfRule type="expression" dxfId="44" priority="5">
      <formula>$J5&lt;&gt;""</formula>
    </cfRule>
    <cfRule type="expression" dxfId="43" priority="6">
      <formula>$I5="Sun"</formula>
    </cfRule>
    <cfRule type="expression" dxfId="42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7D599A-5EAF-4128-9B00-BCD3510C6524}">
          <x14:formula1>
            <xm:f>Sheet1!$D$3:$D$15</xm:f>
          </x14:formula1>
          <xm:sqref>D4</xm:sqref>
        </x14:dataValidation>
        <x14:dataValidation type="list" allowBlank="1" showInputMessage="1" showErrorMessage="1" xr:uid="{F1A8E72B-72B1-478C-8922-72D619134F51}">
          <x14:formula1>
            <xm:f>Sheet1!$E$3:$E$15</xm:f>
          </x14:formula1>
          <xm:sqref>D6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5E9B-8966-410A-945A-5F9A104DFF81}">
  <dimension ref="B2:Y36"/>
  <sheetViews>
    <sheetView showGridLines="0" zoomScale="70" zoomScaleNormal="70" workbookViewId="0">
      <selection activeCell="S5" sqref="S5:S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12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45870</v>
      </c>
      <c r="I5" s="8" t="str">
        <f>TEXT(H5,"DDD")</f>
        <v>Fri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45871</v>
      </c>
      <c r="I6" s="8" t="str">
        <f t="shared" ref="I6:I35" si="1">TEXT(H6,"DDD")</f>
        <v>Sat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45872</v>
      </c>
      <c r="I7" s="8" t="str">
        <f t="shared" si="1"/>
        <v>Sun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45870</v>
      </c>
      <c r="E8" s="9"/>
      <c r="G8" s="8">
        <v>4</v>
      </c>
      <c r="H8" s="7">
        <f t="shared" si="8"/>
        <v>45873</v>
      </c>
      <c r="I8" s="8" t="str">
        <f t="shared" si="1"/>
        <v>Mon</v>
      </c>
      <c r="J8" s="20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45874</v>
      </c>
      <c r="I9" s="8" t="str">
        <f t="shared" si="1"/>
        <v>Tue</v>
      </c>
      <c r="J9" s="21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45900</v>
      </c>
      <c r="E10" s="9"/>
      <c r="G10" s="8">
        <v>6</v>
      </c>
      <c r="H10" s="7">
        <f t="shared" si="8"/>
        <v>45875</v>
      </c>
      <c r="I10" s="8" t="str">
        <f t="shared" si="1"/>
        <v>Wed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45876</v>
      </c>
      <c r="I11" s="8" t="str">
        <f t="shared" si="1"/>
        <v>Thu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8"/>
        <v>45877</v>
      </c>
      <c r="I12" s="8" t="str">
        <f t="shared" si="1"/>
        <v>Fri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45878</v>
      </c>
      <c r="I13" s="8" t="str">
        <f t="shared" si="1"/>
        <v>Sat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5</v>
      </c>
      <c r="E14" s="9"/>
      <c r="G14" s="8">
        <v>10</v>
      </c>
      <c r="H14" s="7">
        <f t="shared" si="8"/>
        <v>45879</v>
      </c>
      <c r="I14" s="8" t="str">
        <f t="shared" si="1"/>
        <v>Sun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5</v>
      </c>
      <c r="E15" s="9"/>
      <c r="G15" s="8">
        <v>11</v>
      </c>
      <c r="H15" s="7">
        <f t="shared" si="8"/>
        <v>45880</v>
      </c>
      <c r="I15" s="8" t="str">
        <f t="shared" si="1"/>
        <v>Mon</v>
      </c>
      <c r="J15" s="20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45881</v>
      </c>
      <c r="I16" s="8" t="str">
        <f t="shared" si="1"/>
        <v>Tue</v>
      </c>
      <c r="J16" s="21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45882</v>
      </c>
      <c r="I17" s="8" t="str">
        <f t="shared" si="1"/>
        <v>Wed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45883</v>
      </c>
      <c r="I18" s="8" t="str">
        <f t="shared" si="1"/>
        <v>Thu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45884</v>
      </c>
      <c r="I19" s="8" t="str">
        <f t="shared" si="1"/>
        <v>Fri</v>
      </c>
      <c r="J19" s="8" t="str">
        <f>IFERROR(VLOOKUP(H19,Sheet1!$A:$B,2,0),"")</f>
        <v>Independence Day</v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45885</v>
      </c>
      <c r="I20" s="8" t="str">
        <f t="shared" si="1"/>
        <v>Sat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45886</v>
      </c>
      <c r="I21" s="8" t="str">
        <f t="shared" si="1"/>
        <v>Sun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45887</v>
      </c>
      <c r="I22" s="8" t="str">
        <f t="shared" si="1"/>
        <v>Mon</v>
      </c>
      <c r="J22" s="20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45888</v>
      </c>
      <c r="I23" s="8" t="str">
        <f t="shared" si="1"/>
        <v>Tue</v>
      </c>
      <c r="J23" s="21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45889</v>
      </c>
      <c r="I24" s="8" t="str">
        <f t="shared" si="1"/>
        <v>Wed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45890</v>
      </c>
      <c r="I25" s="8" t="str">
        <f t="shared" si="1"/>
        <v>Thu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45891</v>
      </c>
      <c r="I26" s="8" t="str">
        <f t="shared" si="1"/>
        <v>Fri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45892</v>
      </c>
      <c r="I27" s="8" t="str">
        <f t="shared" si="1"/>
        <v>Sat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45893</v>
      </c>
      <c r="I28" s="8" t="str">
        <f t="shared" si="1"/>
        <v>Sun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45894</v>
      </c>
      <c r="I29" s="8" t="str">
        <f t="shared" si="1"/>
        <v>Mon</v>
      </c>
      <c r="J29" s="20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45895</v>
      </c>
      <c r="I30" s="8" t="str">
        <f t="shared" si="1"/>
        <v>Tue</v>
      </c>
      <c r="J30" s="21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45896</v>
      </c>
      <c r="I31" s="8" t="str">
        <f t="shared" si="1"/>
        <v>Wed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45897</v>
      </c>
      <c r="I32" s="8" t="str">
        <f t="shared" si="1"/>
        <v>Thu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45898</v>
      </c>
      <c r="I33" s="8" t="str">
        <f t="shared" si="1"/>
        <v>Fri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45899</v>
      </c>
      <c r="I34" s="8" t="str">
        <f t="shared" si="1"/>
        <v>Sat</v>
      </c>
      <c r="J34" s="8" t="str">
        <f>IFERROR(VLOOKUP(H34,Sheet1!$A:$B,2,0),"")</f>
        <v>Raksha Bandhan</v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8"/>
        <v>45900</v>
      </c>
      <c r="I35" s="8" t="str">
        <f t="shared" si="1"/>
        <v>Sun</v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41" priority="1" operator="equal">
      <formula>"No"</formula>
    </cfRule>
    <cfRule type="cellIs" dxfId="40" priority="2" operator="equal">
      <formula>"Yes"</formula>
    </cfRule>
  </conditionalFormatting>
  <conditionalFormatting sqref="H5:S35 K36:L36 N36:O36 Q36:R36 T36:V36 X36:Y36">
    <cfRule type="expression" dxfId="39" priority="3">
      <formula>$J5&lt;&gt;""</formula>
    </cfRule>
    <cfRule type="expression" dxfId="38" priority="4">
      <formula>$J5&lt;&gt;""</formula>
    </cfRule>
    <cfRule type="expression" dxfId="37" priority="5">
      <formula>$J5&lt;&gt;""</formula>
    </cfRule>
    <cfRule type="expression" dxfId="36" priority="6">
      <formula>$I5="Sun"</formula>
    </cfRule>
    <cfRule type="expression" dxfId="35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96549F-22BE-464F-AA18-7E595ABD9D29}">
          <x14:formula1>
            <xm:f>Sheet1!$E$3:$E$15</xm:f>
          </x14:formula1>
          <xm:sqref>D6</xm:sqref>
        </x14:dataValidation>
        <x14:dataValidation type="list" allowBlank="1" showInputMessage="1" showErrorMessage="1" xr:uid="{A2DDC06F-6037-4B9D-B18F-283987D6A293}">
          <x14:formula1>
            <xm:f>Sheet1!$D$3:$D$15</xm:f>
          </x14:formula1>
          <xm:sqref>D4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F609-B8CF-419F-BC66-B560659040F7}">
  <dimension ref="B2:Y36"/>
  <sheetViews>
    <sheetView showGridLines="0" zoomScale="70" zoomScaleNormal="70" workbookViewId="0">
      <selection activeCell="S5" sqref="S5:S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13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45901</v>
      </c>
      <c r="I5" s="8" t="str">
        <f>TEXT(H5,"DDD")</f>
        <v>Mon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45902</v>
      </c>
      <c r="I6" s="8" t="str">
        <f t="shared" ref="I6:I35" si="1">TEXT(H6,"DDD")</f>
        <v>Tue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45903</v>
      </c>
      <c r="I7" s="8" t="str">
        <f t="shared" si="1"/>
        <v>Wed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45901</v>
      </c>
      <c r="E8" s="9"/>
      <c r="G8" s="8">
        <v>4</v>
      </c>
      <c r="H8" s="7">
        <f t="shared" si="8"/>
        <v>45904</v>
      </c>
      <c r="I8" s="8" t="str">
        <f t="shared" si="1"/>
        <v>Thu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45905</v>
      </c>
      <c r="I9" s="8" t="str">
        <f t="shared" si="1"/>
        <v>Fri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45930</v>
      </c>
      <c r="E10" s="9"/>
      <c r="G10" s="8">
        <v>6</v>
      </c>
      <c r="H10" s="7">
        <f t="shared" si="8"/>
        <v>45906</v>
      </c>
      <c r="I10" s="8" t="str">
        <f t="shared" si="1"/>
        <v>Sat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45907</v>
      </c>
      <c r="I11" s="8" t="str">
        <f t="shared" si="1"/>
        <v>Sun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30</v>
      </c>
      <c r="E12" s="9"/>
      <c r="G12" s="8">
        <v>8</v>
      </c>
      <c r="H12" s="7">
        <f t="shared" si="8"/>
        <v>45908</v>
      </c>
      <c r="I12" s="8" t="str">
        <f t="shared" si="1"/>
        <v>Mon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45909</v>
      </c>
      <c r="I13" s="8" t="str">
        <f t="shared" si="1"/>
        <v>Tue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45910</v>
      </c>
      <c r="I14" s="8" t="str">
        <f t="shared" si="1"/>
        <v>Wed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45911</v>
      </c>
      <c r="I15" s="8" t="str">
        <f t="shared" si="1"/>
        <v>Thu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45912</v>
      </c>
      <c r="I16" s="8" t="str">
        <f t="shared" si="1"/>
        <v>Fri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45913</v>
      </c>
      <c r="I17" s="8" t="str">
        <f t="shared" si="1"/>
        <v>Sat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45914</v>
      </c>
      <c r="I18" s="8" t="str">
        <f t="shared" si="1"/>
        <v>Sun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45915</v>
      </c>
      <c r="I19" s="8" t="str">
        <f t="shared" si="1"/>
        <v>Mon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45916</v>
      </c>
      <c r="I20" s="8" t="str">
        <f t="shared" si="1"/>
        <v>Tue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45917</v>
      </c>
      <c r="I21" s="8" t="str">
        <f t="shared" si="1"/>
        <v>Wed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45918</v>
      </c>
      <c r="I22" s="8" t="str">
        <f t="shared" si="1"/>
        <v>Thu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45919</v>
      </c>
      <c r="I23" s="8" t="str">
        <f t="shared" si="1"/>
        <v>Fri</v>
      </c>
      <c r="J23" s="8" t="str">
        <f>IFERROR(VLOOKUP(H23,Sheet1!$A:$B,2,0),"")</f>
        <v>Ganesh Chaturthi</v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45920</v>
      </c>
      <c r="I24" s="8" t="str">
        <f t="shared" si="1"/>
        <v>Sat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45921</v>
      </c>
      <c r="I25" s="8" t="str">
        <f t="shared" si="1"/>
        <v>Sun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45922</v>
      </c>
      <c r="I26" s="8" t="str">
        <f t="shared" si="1"/>
        <v>Mon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45923</v>
      </c>
      <c r="I27" s="8" t="str">
        <f t="shared" si="1"/>
        <v>Tue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45924</v>
      </c>
      <c r="I28" s="8" t="str">
        <f t="shared" si="1"/>
        <v>Wed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45925</v>
      </c>
      <c r="I29" s="8" t="str">
        <f t="shared" si="1"/>
        <v>Thu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45926</v>
      </c>
      <c r="I30" s="8" t="str">
        <f t="shared" si="1"/>
        <v>Fri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45927</v>
      </c>
      <c r="I31" s="8" t="str">
        <f t="shared" si="1"/>
        <v>Sat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45928</v>
      </c>
      <c r="I32" s="8" t="str">
        <f t="shared" si="1"/>
        <v>Sun</v>
      </c>
      <c r="J32" s="8" t="str">
        <f>IFERROR(VLOOKUP(H32,Sheet1!$A:$B,2,0),"")</f>
        <v>Eid Milad</v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45929</v>
      </c>
      <c r="I33" s="8" t="str">
        <f t="shared" si="1"/>
        <v>Mon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45930</v>
      </c>
      <c r="I34" s="8" t="str">
        <f t="shared" si="1"/>
        <v>Tue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 t="str">
        <f t="shared" si="8"/>
        <v/>
      </c>
      <c r="I35" s="8" t="str">
        <f t="shared" si="1"/>
        <v/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34" priority="1" operator="equal">
      <formula>"No"</formula>
    </cfRule>
    <cfRule type="cellIs" dxfId="33" priority="2" operator="equal">
      <formula>"Yes"</formula>
    </cfRule>
  </conditionalFormatting>
  <conditionalFormatting sqref="H5:S35 K36:L36 N36:O36 Q36:R36 T36:V36 X36:Y36">
    <cfRule type="expression" dxfId="32" priority="3">
      <formula>$J5&lt;&gt;""</formula>
    </cfRule>
    <cfRule type="expression" dxfId="31" priority="4">
      <formula>$J5&lt;&gt;""</formula>
    </cfRule>
    <cfRule type="expression" dxfId="30" priority="5">
      <formula>$J5&lt;&gt;""</formula>
    </cfRule>
    <cfRule type="expression" dxfId="29" priority="6">
      <formula>$I5="Sun"</formula>
    </cfRule>
    <cfRule type="expression" dxfId="28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2D0324-8FAC-4632-B248-F0FD7A1A9712}">
          <x14:formula1>
            <xm:f>Sheet1!$D$3:$D$15</xm:f>
          </x14:formula1>
          <xm:sqref>D4</xm:sqref>
        </x14:dataValidation>
        <x14:dataValidation type="list" allowBlank="1" showInputMessage="1" showErrorMessage="1" xr:uid="{8DF85431-77E9-4D62-B2CC-7B280B8D0619}">
          <x14:formula1>
            <xm:f>Sheet1!$E$3:$E$15</xm:f>
          </x14:formula1>
          <xm:sqref>D6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65C0-3B70-4540-82E7-4E5F7E88744F}">
  <dimension ref="B2:Y36"/>
  <sheetViews>
    <sheetView showGridLines="0" zoomScale="70" zoomScaleNormal="70" workbookViewId="0">
      <selection activeCell="S5" sqref="S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14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45931</v>
      </c>
      <c r="I5" s="8" t="str">
        <f>TEXT(H5,"DDD")</f>
        <v>Wed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45932</v>
      </c>
      <c r="I6" s="8" t="str">
        <f t="shared" ref="I6:I35" si="1">TEXT(H6,"DDD")</f>
        <v>Thu</v>
      </c>
      <c r="J6" s="8" t="str">
        <f>IFERROR(VLOOKUP(H6,Sheet1!$A:$B,2,0),"")</f>
        <v>Gandhi Jayanti</v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45933</v>
      </c>
      <c r="I7" s="8" t="str">
        <f t="shared" si="1"/>
        <v>Fri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45931</v>
      </c>
      <c r="E8" s="9"/>
      <c r="G8" s="8">
        <v>4</v>
      </c>
      <c r="H8" s="7">
        <f t="shared" si="8"/>
        <v>45934</v>
      </c>
      <c r="I8" s="8" t="str">
        <f t="shared" si="1"/>
        <v>Sat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45935</v>
      </c>
      <c r="I9" s="8" t="str">
        <f t="shared" si="1"/>
        <v>Sun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45961</v>
      </c>
      <c r="E10" s="9"/>
      <c r="G10" s="8">
        <v>6</v>
      </c>
      <c r="H10" s="7">
        <f t="shared" si="8"/>
        <v>45936</v>
      </c>
      <c r="I10" s="8" t="str">
        <f t="shared" si="1"/>
        <v>Mon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45937</v>
      </c>
      <c r="I11" s="8" t="str">
        <f t="shared" si="1"/>
        <v>Tue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8"/>
        <v>45938</v>
      </c>
      <c r="I12" s="8" t="str">
        <f t="shared" si="1"/>
        <v>Wed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45939</v>
      </c>
      <c r="I13" s="8" t="str">
        <f t="shared" si="1"/>
        <v>Thu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45940</v>
      </c>
      <c r="I14" s="8" t="str">
        <f t="shared" si="1"/>
        <v>Fri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45941</v>
      </c>
      <c r="I15" s="8" t="str">
        <f t="shared" si="1"/>
        <v>Sat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45942</v>
      </c>
      <c r="I16" s="8" t="str">
        <f t="shared" si="1"/>
        <v>Sun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45943</v>
      </c>
      <c r="I17" s="8" t="str">
        <f t="shared" si="1"/>
        <v>Mon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45944</v>
      </c>
      <c r="I18" s="8" t="str">
        <f t="shared" si="1"/>
        <v>Tue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45945</v>
      </c>
      <c r="I19" s="8" t="str">
        <f t="shared" si="1"/>
        <v>Wed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45946</v>
      </c>
      <c r="I20" s="8" t="str">
        <f t="shared" si="1"/>
        <v>Thu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45947</v>
      </c>
      <c r="I21" s="8" t="str">
        <f t="shared" si="1"/>
        <v>Fri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45948</v>
      </c>
      <c r="I22" s="8" t="str">
        <f t="shared" si="1"/>
        <v>Sat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45949</v>
      </c>
      <c r="I23" s="8" t="str">
        <f t="shared" si="1"/>
        <v>Sun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45950</v>
      </c>
      <c r="I24" s="8" t="str">
        <f t="shared" si="1"/>
        <v>Mon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45951</v>
      </c>
      <c r="I25" s="8" t="str">
        <f t="shared" si="1"/>
        <v>Tue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45952</v>
      </c>
      <c r="I26" s="8" t="str">
        <f t="shared" si="1"/>
        <v>Wed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45953</v>
      </c>
      <c r="I27" s="8" t="str">
        <f t="shared" si="1"/>
        <v>Thu</v>
      </c>
      <c r="J27" s="8" t="str">
        <f>IFERROR(VLOOKUP(H27,Sheet1!$A:$B,2,0),"")</f>
        <v>Ayudha Pooja</v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45954</v>
      </c>
      <c r="I28" s="8" t="str">
        <f t="shared" si="1"/>
        <v>Fri</v>
      </c>
      <c r="J28" s="8" t="str">
        <f>IFERROR(VLOOKUP(H28,Sheet1!$A:$B,2,0),"")</f>
        <v>Vijay Dashmi</v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45955</v>
      </c>
      <c r="I29" s="8" t="str">
        <f t="shared" si="1"/>
        <v>Sat</v>
      </c>
      <c r="J29" s="8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45956</v>
      </c>
      <c r="I30" s="8" t="str">
        <f t="shared" si="1"/>
        <v>Sun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45957</v>
      </c>
      <c r="I31" s="8" t="str">
        <f t="shared" si="1"/>
        <v>Mon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45958</v>
      </c>
      <c r="I32" s="8" t="str">
        <f t="shared" si="1"/>
        <v>Tue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45959</v>
      </c>
      <c r="I33" s="8" t="str">
        <f t="shared" si="1"/>
        <v>Wed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45960</v>
      </c>
      <c r="I34" s="8" t="str">
        <f t="shared" si="1"/>
        <v>Thu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8"/>
        <v>45961</v>
      </c>
      <c r="I35" s="8" t="str">
        <f t="shared" si="1"/>
        <v>Fri</v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27" priority="1" operator="equal">
      <formula>"No"</formula>
    </cfRule>
    <cfRule type="cellIs" dxfId="26" priority="2" operator="equal">
      <formula>"Yes"</formula>
    </cfRule>
  </conditionalFormatting>
  <conditionalFormatting sqref="H5:S35 K36:L36 N36:O36 Q36:R36 T36:V36 X36:Y36">
    <cfRule type="expression" dxfId="25" priority="3">
      <formula>$J5&lt;&gt;""</formula>
    </cfRule>
    <cfRule type="expression" dxfId="24" priority="4">
      <formula>$J5&lt;&gt;""</formula>
    </cfRule>
    <cfRule type="expression" dxfId="23" priority="5">
      <formula>$J5&lt;&gt;""</formula>
    </cfRule>
    <cfRule type="expression" dxfId="22" priority="6">
      <formula>$I5="Sun"</formula>
    </cfRule>
    <cfRule type="expression" dxfId="21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ED26CD-AA2B-4466-A602-9416DFD5E8B7}">
          <x14:formula1>
            <xm:f>Sheet1!$E$3:$E$15</xm:f>
          </x14:formula1>
          <xm:sqref>D6</xm:sqref>
        </x14:dataValidation>
        <x14:dataValidation type="list" allowBlank="1" showInputMessage="1" showErrorMessage="1" xr:uid="{BD9F9D0C-D261-4485-8AB8-048D1408EDB1}">
          <x14:formula1>
            <xm:f>Sheet1!$D$3:$D$15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57CC-2D4B-43D3-877E-70D9EEF5620B}">
  <dimension ref="B2:Y36"/>
  <sheetViews>
    <sheetView showGridLines="0" zoomScale="70" zoomScaleNormal="70" workbookViewId="0">
      <selection activeCell="S5" sqref="S5:S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15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45962</v>
      </c>
      <c r="I5" s="8" t="str">
        <f>TEXT(H5,"DDD")</f>
        <v>Sat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45963</v>
      </c>
      <c r="I6" s="8" t="str">
        <f t="shared" ref="I6:I35" si="1">TEXT(H6,"DDD")</f>
        <v>Sun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45964</v>
      </c>
      <c r="I7" s="8" t="str">
        <f t="shared" si="1"/>
        <v>Mon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45962</v>
      </c>
      <c r="E8" s="9"/>
      <c r="G8" s="8">
        <v>4</v>
      </c>
      <c r="H8" s="7">
        <f t="shared" si="8"/>
        <v>45965</v>
      </c>
      <c r="I8" s="8" t="str">
        <f t="shared" si="1"/>
        <v>Tue</v>
      </c>
      <c r="J8" s="20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45966</v>
      </c>
      <c r="I9" s="8" t="str">
        <f t="shared" si="1"/>
        <v>Wed</v>
      </c>
      <c r="J9" s="21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45991</v>
      </c>
      <c r="E10" s="9"/>
      <c r="G10" s="8">
        <v>6</v>
      </c>
      <c r="H10" s="7">
        <f t="shared" si="8"/>
        <v>45967</v>
      </c>
      <c r="I10" s="8" t="str">
        <f t="shared" si="1"/>
        <v>Thu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45968</v>
      </c>
      <c r="I11" s="8" t="str">
        <f t="shared" si="1"/>
        <v>Fri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30</v>
      </c>
      <c r="E12" s="9"/>
      <c r="G12" s="8">
        <v>8</v>
      </c>
      <c r="H12" s="7">
        <f t="shared" si="8"/>
        <v>45969</v>
      </c>
      <c r="I12" s="8" t="str">
        <f t="shared" si="1"/>
        <v>Sat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45970</v>
      </c>
      <c r="I13" s="8" t="str">
        <f t="shared" si="1"/>
        <v>Sun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5</v>
      </c>
      <c r="E14" s="9"/>
      <c r="G14" s="8">
        <v>10</v>
      </c>
      <c r="H14" s="7">
        <f t="shared" si="8"/>
        <v>45971</v>
      </c>
      <c r="I14" s="8" t="str">
        <f t="shared" si="1"/>
        <v>Mon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5</v>
      </c>
      <c r="E15" s="9"/>
      <c r="G15" s="8">
        <v>11</v>
      </c>
      <c r="H15" s="7">
        <f t="shared" si="8"/>
        <v>45972</v>
      </c>
      <c r="I15" s="8" t="str">
        <f t="shared" si="1"/>
        <v>Tue</v>
      </c>
      <c r="J15" s="20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45973</v>
      </c>
      <c r="I16" s="8" t="str">
        <f t="shared" si="1"/>
        <v>Wed</v>
      </c>
      <c r="J16" s="21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45974</v>
      </c>
      <c r="I17" s="8" t="str">
        <f t="shared" si="1"/>
        <v>Thu</v>
      </c>
      <c r="J17" s="8" t="str">
        <f>IFERROR(VLOOKUP(H17,Sheet1!$A:$B,2,0),"")</f>
        <v>Diwali</v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45975</v>
      </c>
      <c r="I18" s="8" t="str">
        <f t="shared" si="1"/>
        <v>Fri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45976</v>
      </c>
      <c r="I19" s="8" t="str">
        <f t="shared" si="1"/>
        <v>Sat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45977</v>
      </c>
      <c r="I20" s="8" t="str">
        <f t="shared" si="1"/>
        <v>Sun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45978</v>
      </c>
      <c r="I21" s="8" t="str">
        <f t="shared" si="1"/>
        <v>Mon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45979</v>
      </c>
      <c r="I22" s="8" t="str">
        <f t="shared" si="1"/>
        <v>Tue</v>
      </c>
      <c r="J22" s="20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45980</v>
      </c>
      <c r="I23" s="8" t="str">
        <f t="shared" si="1"/>
        <v>Wed</v>
      </c>
      <c r="J23" s="21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45981</v>
      </c>
      <c r="I24" s="8" t="str">
        <f t="shared" si="1"/>
        <v>Thu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45982</v>
      </c>
      <c r="I25" s="8" t="str">
        <f t="shared" si="1"/>
        <v>Fri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45983</v>
      </c>
      <c r="I26" s="8" t="str">
        <f t="shared" si="1"/>
        <v>Sat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45984</v>
      </c>
      <c r="I27" s="8" t="str">
        <f t="shared" si="1"/>
        <v>Sun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45985</v>
      </c>
      <c r="I28" s="8" t="str">
        <f t="shared" si="1"/>
        <v>Mon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45986</v>
      </c>
      <c r="I29" s="8" t="str">
        <f t="shared" si="1"/>
        <v>Tue</v>
      </c>
      <c r="J29" s="20" t="str">
        <f>IFERROR(VLOOKUP(H29,Sheet1!$A:$B,2,0),"")</f>
        <v/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45987</v>
      </c>
      <c r="I30" s="8" t="str">
        <f t="shared" si="1"/>
        <v>Wed</v>
      </c>
      <c r="J30" s="21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45988</v>
      </c>
      <c r="I31" s="8" t="str">
        <f t="shared" si="1"/>
        <v>Thu</v>
      </c>
      <c r="J31" s="8" t="str">
        <f>IFERROR(VLOOKUP(H31,Sheet1!$A:$B,2,0),"")</f>
        <v>Guru Nanak Jayanti</v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45989</v>
      </c>
      <c r="I32" s="8" t="str">
        <f t="shared" si="1"/>
        <v>Fri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45990</v>
      </c>
      <c r="I33" s="8" t="str">
        <f t="shared" si="1"/>
        <v>Sat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45991</v>
      </c>
      <c r="I34" s="8" t="str">
        <f t="shared" si="1"/>
        <v>Sun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 t="str">
        <f t="shared" si="8"/>
        <v/>
      </c>
      <c r="I35" s="8" t="str">
        <f t="shared" si="1"/>
        <v/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20" priority="1" operator="equal">
      <formula>"No"</formula>
    </cfRule>
    <cfRule type="cellIs" dxfId="19" priority="2" operator="equal">
      <formula>"Yes"</formula>
    </cfRule>
  </conditionalFormatting>
  <conditionalFormatting sqref="H5:S35 K36:L36 N36:O36 Q36:R36 T36:V36 X36:Y36">
    <cfRule type="expression" dxfId="18" priority="3">
      <formula>$J5&lt;&gt;""</formula>
    </cfRule>
    <cfRule type="expression" dxfId="17" priority="4">
      <formula>$J5&lt;&gt;""</formula>
    </cfRule>
    <cfRule type="expression" dxfId="16" priority="5">
      <formula>$J5&lt;&gt;""</formula>
    </cfRule>
    <cfRule type="expression" dxfId="15" priority="6">
      <formula>$I5="Sun"</formula>
    </cfRule>
    <cfRule type="expression" dxfId="14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15DD77-AAD0-4326-A4D3-46688787845E}">
          <x14:formula1>
            <xm:f>Sheet1!$D$3:$D$15</xm:f>
          </x14:formula1>
          <xm:sqref>D4</xm:sqref>
        </x14:dataValidation>
        <x14:dataValidation type="list" allowBlank="1" showInputMessage="1" showErrorMessage="1" xr:uid="{24670BCE-8764-45B7-9A8A-C169791DD5EC}">
          <x14:formula1>
            <xm:f>Sheet1!$E$3:$E$15</xm:f>
          </x14:formula1>
          <xm:sqref>D6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EA8B-0775-4DC2-9D44-6AEEB3159E6D}">
  <dimension ref="B2:Y36"/>
  <sheetViews>
    <sheetView showGridLines="0" zoomScale="70" zoomScaleNormal="70" workbookViewId="0">
      <selection activeCell="S5" sqref="S5:S35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3.88671875" style="5" bestFit="1" customWidth="1"/>
    <col min="9" max="9" width="8.88671875" style="3"/>
    <col min="10" max="10" width="11.44140625" bestFit="1" customWidth="1"/>
    <col min="11" max="11" width="11.21875" style="3" bestFit="1" customWidth="1"/>
    <col min="12" max="12" width="10.5546875" style="3" bestFit="1" customWidth="1"/>
    <col min="13" max="13" width="22.88671875" style="3" bestFit="1" customWidth="1"/>
    <col min="14" max="14" width="8.88671875" style="3"/>
    <col min="20" max="20" width="10.6640625" bestFit="1" customWidth="1"/>
    <col min="21" max="21" width="9.6640625" style="3" bestFit="1" customWidth="1"/>
    <col min="22" max="22" width="9" style="3" bestFit="1" customWidth="1"/>
    <col min="23" max="23" width="8.21875" style="3" bestFit="1" customWidth="1"/>
    <col min="24" max="24" width="17.21875" style="3" bestFit="1" customWidth="1"/>
    <col min="25" max="25" width="9" style="23" customWidth="1"/>
  </cols>
  <sheetData>
    <row r="2" spans="2:25" ht="18.600000000000001" x14ac:dyDescent="0.45">
      <c r="B2" s="33" t="s">
        <v>35</v>
      </c>
      <c r="C2" s="33"/>
      <c r="D2" s="33"/>
      <c r="E2" s="33"/>
    </row>
    <row r="3" spans="2:25" ht="18.600000000000001" x14ac:dyDescent="0.45">
      <c r="B3" s="9"/>
      <c r="C3" s="14"/>
      <c r="D3" s="9"/>
      <c r="E3" s="9"/>
      <c r="G3" s="31" t="s">
        <v>67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 t="s">
        <v>66</v>
      </c>
      <c r="U3" s="31"/>
      <c r="V3" s="31"/>
      <c r="W3" s="31"/>
      <c r="X3" s="31"/>
      <c r="Y3" s="31"/>
    </row>
    <row r="4" spans="2:25" ht="15.6" x14ac:dyDescent="0.3">
      <c r="B4" s="9"/>
      <c r="C4" s="14" t="s">
        <v>36</v>
      </c>
      <c r="D4" s="11" t="s">
        <v>16</v>
      </c>
      <c r="E4" s="9"/>
      <c r="G4" s="4" t="s">
        <v>42</v>
      </c>
      <c r="H4" s="6" t="s">
        <v>43</v>
      </c>
      <c r="I4" s="4" t="s">
        <v>44</v>
      </c>
      <c r="J4" s="4" t="s">
        <v>1</v>
      </c>
      <c r="K4" s="4" t="s">
        <v>50</v>
      </c>
      <c r="L4" s="4" t="s">
        <v>57</v>
      </c>
      <c r="M4" s="4" t="s">
        <v>59</v>
      </c>
      <c r="N4" s="4" t="s">
        <v>60</v>
      </c>
      <c r="O4" s="4" t="s">
        <v>61</v>
      </c>
      <c r="P4" s="4" t="s">
        <v>59</v>
      </c>
      <c r="Q4" s="4" t="s">
        <v>52</v>
      </c>
      <c r="R4" s="4" t="s">
        <v>62</v>
      </c>
      <c r="S4" s="4" t="s">
        <v>59</v>
      </c>
      <c r="T4" s="18" t="s">
        <v>63</v>
      </c>
      <c r="U4" s="18" t="s">
        <v>53</v>
      </c>
      <c r="V4" s="18" t="s">
        <v>64</v>
      </c>
      <c r="W4" s="18" t="s">
        <v>58</v>
      </c>
      <c r="X4" s="18" t="s">
        <v>68</v>
      </c>
      <c r="Y4" s="24" t="s">
        <v>65</v>
      </c>
    </row>
    <row r="5" spans="2:25" x14ac:dyDescent="0.3">
      <c r="B5" s="9"/>
      <c r="C5" s="14"/>
      <c r="D5" s="9"/>
      <c r="E5" s="9"/>
      <c r="G5" s="8">
        <v>1</v>
      </c>
      <c r="H5" s="7">
        <f>D8</f>
        <v>45992</v>
      </c>
      <c r="I5" s="8" t="str">
        <f>TEXT(H5,"DDD")</f>
        <v>Mon</v>
      </c>
      <c r="J5" s="8" t="str">
        <f>IFERROR(VLOOKUP(H5,Sheet1!$A:$B,2,0),"")</f>
        <v/>
      </c>
      <c r="K5" s="8"/>
      <c r="L5" s="8"/>
      <c r="M5" s="17" t="str">
        <f t="shared" ref="M5:M35" si="0">IFERROR(IF(K5=0,"",K5/L5),"")</f>
        <v/>
      </c>
      <c r="N5" s="8"/>
      <c r="O5" s="8"/>
      <c r="P5" s="17" t="str">
        <f>IFERROR(IF(N5=0,"",N5/O5),"")</f>
        <v/>
      </c>
      <c r="Q5" s="8"/>
      <c r="R5" s="8"/>
      <c r="S5" s="17" t="str">
        <f>IFERROR(IF(Q5=0,"",Q5/R5),"")</f>
        <v/>
      </c>
      <c r="T5" s="22"/>
      <c r="U5" s="8">
        <f>K5+N5+Q5</f>
        <v>0</v>
      </c>
      <c r="V5" s="8">
        <f>L5+O5+R5</f>
        <v>0</v>
      </c>
      <c r="W5" s="8" t="str">
        <f>IFERROR(U5/V5,"0")</f>
        <v>0</v>
      </c>
      <c r="X5" s="8">
        <f>U5-T5</f>
        <v>0</v>
      </c>
      <c r="Y5" s="25" t="str">
        <f>IFERROR(U5/T5,"0")</f>
        <v>0</v>
      </c>
    </row>
    <row r="6" spans="2:25" ht="15.6" x14ac:dyDescent="0.3">
      <c r="B6" s="9"/>
      <c r="C6" s="14" t="s">
        <v>4</v>
      </c>
      <c r="D6" s="11">
        <v>2025</v>
      </c>
      <c r="E6" s="9"/>
      <c r="G6" s="8">
        <v>2</v>
      </c>
      <c r="H6" s="7">
        <f>IF(H5&lt;$D$10,H5+1,"")</f>
        <v>45993</v>
      </c>
      <c r="I6" s="8" t="str">
        <f t="shared" ref="I6:I35" si="1">TEXT(H6,"DDD")</f>
        <v>Tue</v>
      </c>
      <c r="J6" s="8" t="str">
        <f>IFERROR(VLOOKUP(H6,Sheet1!$A:$B,2,0),"")</f>
        <v/>
      </c>
      <c r="K6" s="8"/>
      <c r="L6" s="8"/>
      <c r="M6" s="17" t="str">
        <f t="shared" si="0"/>
        <v/>
      </c>
      <c r="N6" s="8"/>
      <c r="O6" s="8"/>
      <c r="P6" s="17" t="str">
        <f t="shared" ref="P6:P35" si="2">IFERROR(IF(N6=0,"",N6/O6),"")</f>
        <v/>
      </c>
      <c r="Q6" s="8"/>
      <c r="R6" s="8"/>
      <c r="S6" s="17" t="str">
        <f t="shared" ref="S6:S35" si="3">IFERROR(IF(Q6=0,"",Q6/R6),"")</f>
        <v/>
      </c>
      <c r="T6" s="22"/>
      <c r="U6" s="8">
        <f t="shared" ref="U6:V35" si="4">K6+N6+Q6</f>
        <v>0</v>
      </c>
      <c r="V6" s="8">
        <f t="shared" si="4"/>
        <v>0</v>
      </c>
      <c r="W6" s="8" t="str">
        <f t="shared" ref="W6:W36" si="5">IFERROR(U6/V6,"0")</f>
        <v>0</v>
      </c>
      <c r="X6" s="8">
        <f t="shared" ref="X6:X35" si="6">U6-T6</f>
        <v>0</v>
      </c>
      <c r="Y6" s="25" t="str">
        <f t="shared" ref="Y6:Y35" si="7">IFERROR(U6/T6,"0")</f>
        <v>0</v>
      </c>
    </row>
    <row r="7" spans="2:25" x14ac:dyDescent="0.3">
      <c r="B7" s="9"/>
      <c r="C7" s="14"/>
      <c r="D7" s="9"/>
      <c r="E7" s="9"/>
      <c r="G7" s="8">
        <v>3</v>
      </c>
      <c r="H7" s="7">
        <f t="shared" ref="H7:H35" si="8">IF(H6&lt;$D$10,H6+1,"")</f>
        <v>45994</v>
      </c>
      <c r="I7" s="8" t="str">
        <f t="shared" si="1"/>
        <v>Wed</v>
      </c>
      <c r="J7" s="8" t="str">
        <f>IFERROR(VLOOKUP(H7,Sheet1!$A:$B,2,0),"")</f>
        <v/>
      </c>
      <c r="K7" s="8"/>
      <c r="L7" s="8"/>
      <c r="M7" s="17" t="str">
        <f t="shared" si="0"/>
        <v/>
      </c>
      <c r="N7" s="8"/>
      <c r="O7" s="8"/>
      <c r="P7" s="17" t="str">
        <f t="shared" si="2"/>
        <v/>
      </c>
      <c r="Q7" s="8"/>
      <c r="R7" s="8"/>
      <c r="S7" s="17" t="str">
        <f t="shared" si="3"/>
        <v/>
      </c>
      <c r="T7" s="22"/>
      <c r="U7" s="8">
        <f t="shared" si="4"/>
        <v>0</v>
      </c>
      <c r="V7" s="8">
        <f t="shared" si="4"/>
        <v>0</v>
      </c>
      <c r="W7" s="8" t="str">
        <f t="shared" si="5"/>
        <v>0</v>
      </c>
      <c r="X7" s="8">
        <f t="shared" si="6"/>
        <v>0</v>
      </c>
      <c r="Y7" s="25" t="str">
        <f t="shared" si="7"/>
        <v>0</v>
      </c>
    </row>
    <row r="8" spans="2:25" ht="15.6" x14ac:dyDescent="0.3">
      <c r="B8" s="9"/>
      <c r="C8" s="14" t="s">
        <v>37</v>
      </c>
      <c r="D8" s="13">
        <f>DATEVALUE("01"&amp;D4&amp;D6)</f>
        <v>45992</v>
      </c>
      <c r="E8" s="9"/>
      <c r="G8" s="8">
        <v>4</v>
      </c>
      <c r="H8" s="7">
        <f t="shared" si="8"/>
        <v>45995</v>
      </c>
      <c r="I8" s="8" t="str">
        <f t="shared" si="1"/>
        <v>Thu</v>
      </c>
      <c r="J8" s="8" t="str">
        <f>IFERROR(VLOOKUP(H8,Sheet1!$A:$B,2,0),"")</f>
        <v/>
      </c>
      <c r="K8" s="20"/>
      <c r="L8" s="20"/>
      <c r="M8" s="17" t="str">
        <f t="shared" si="0"/>
        <v/>
      </c>
      <c r="N8" s="20"/>
      <c r="O8" s="20"/>
      <c r="P8" s="17" t="str">
        <f t="shared" si="2"/>
        <v/>
      </c>
      <c r="Q8" s="20"/>
      <c r="R8" s="20"/>
      <c r="S8" s="17" t="str">
        <f t="shared" si="3"/>
        <v/>
      </c>
      <c r="T8" s="22"/>
      <c r="U8" s="8">
        <f t="shared" si="4"/>
        <v>0</v>
      </c>
      <c r="V8" s="8">
        <f t="shared" si="4"/>
        <v>0</v>
      </c>
      <c r="W8" s="8" t="str">
        <f t="shared" si="5"/>
        <v>0</v>
      </c>
      <c r="X8" s="8">
        <f t="shared" si="6"/>
        <v>0</v>
      </c>
      <c r="Y8" s="25" t="str">
        <f t="shared" si="7"/>
        <v>0</v>
      </c>
    </row>
    <row r="9" spans="2:25" x14ac:dyDescent="0.3">
      <c r="B9" s="9"/>
      <c r="C9" s="14"/>
      <c r="D9" s="10"/>
      <c r="E9" s="9"/>
      <c r="G9" s="8">
        <v>5</v>
      </c>
      <c r="H9" s="7">
        <f t="shared" si="8"/>
        <v>45996</v>
      </c>
      <c r="I9" s="8" t="str">
        <f t="shared" si="1"/>
        <v>Fri</v>
      </c>
      <c r="J9" s="8" t="str">
        <f>IFERROR(VLOOKUP(H9,Sheet1!$A:$B,2,0),"")</f>
        <v/>
      </c>
      <c r="K9" s="21"/>
      <c r="L9" s="21"/>
      <c r="M9" s="17" t="str">
        <f t="shared" si="0"/>
        <v/>
      </c>
      <c r="N9" s="21"/>
      <c r="O9" s="21"/>
      <c r="P9" s="17" t="str">
        <f t="shared" si="2"/>
        <v/>
      </c>
      <c r="Q9" s="21"/>
      <c r="R9" s="21"/>
      <c r="S9" s="17" t="str">
        <f t="shared" si="3"/>
        <v/>
      </c>
      <c r="T9" s="22"/>
      <c r="U9" s="8">
        <f t="shared" si="4"/>
        <v>0</v>
      </c>
      <c r="V9" s="8">
        <f t="shared" si="4"/>
        <v>0</v>
      </c>
      <c r="W9" s="8" t="str">
        <f t="shared" si="5"/>
        <v>0</v>
      </c>
      <c r="X9" s="8">
        <f t="shared" si="6"/>
        <v>0</v>
      </c>
      <c r="Y9" s="25" t="str">
        <f t="shared" si="7"/>
        <v>0</v>
      </c>
    </row>
    <row r="10" spans="2:25" ht="15.6" x14ac:dyDescent="0.3">
      <c r="B10" s="9"/>
      <c r="C10" s="14" t="s">
        <v>38</v>
      </c>
      <c r="D10" s="13">
        <f>EOMONTH(D8,0)</f>
        <v>46022</v>
      </c>
      <c r="E10" s="9"/>
      <c r="G10" s="8">
        <v>6</v>
      </c>
      <c r="H10" s="7">
        <f t="shared" si="8"/>
        <v>45997</v>
      </c>
      <c r="I10" s="8" t="str">
        <f t="shared" si="1"/>
        <v>Sat</v>
      </c>
      <c r="J10" s="8" t="str">
        <f>IFERROR(VLOOKUP(H10,Sheet1!$A:$B,2,0),"")</f>
        <v/>
      </c>
      <c r="K10" s="8"/>
      <c r="L10" s="8"/>
      <c r="M10" s="17" t="str">
        <f t="shared" si="0"/>
        <v/>
      </c>
      <c r="N10" s="8"/>
      <c r="O10" s="8"/>
      <c r="P10" s="17" t="str">
        <f t="shared" si="2"/>
        <v/>
      </c>
      <c r="Q10" s="8"/>
      <c r="R10" s="8"/>
      <c r="S10" s="17" t="str">
        <f t="shared" si="3"/>
        <v/>
      </c>
      <c r="T10" s="22"/>
      <c r="U10" s="8">
        <f t="shared" si="4"/>
        <v>0</v>
      </c>
      <c r="V10" s="8">
        <f t="shared" si="4"/>
        <v>0</v>
      </c>
      <c r="W10" s="8" t="str">
        <f t="shared" si="5"/>
        <v>0</v>
      </c>
      <c r="X10" s="8">
        <f t="shared" si="6"/>
        <v>0</v>
      </c>
      <c r="Y10" s="25" t="str">
        <f t="shared" si="7"/>
        <v>0</v>
      </c>
    </row>
    <row r="11" spans="2:25" x14ac:dyDescent="0.3">
      <c r="B11" s="9"/>
      <c r="C11" s="14"/>
      <c r="D11" s="9"/>
      <c r="E11" s="9"/>
      <c r="G11" s="8">
        <v>7</v>
      </c>
      <c r="H11" s="7">
        <f t="shared" si="8"/>
        <v>45998</v>
      </c>
      <c r="I11" s="8" t="str">
        <f t="shared" si="1"/>
        <v>Sun</v>
      </c>
      <c r="J11" s="8" t="str">
        <f>IFERROR(VLOOKUP(H11,Sheet1!$A:$B,2,0),"")</f>
        <v/>
      </c>
      <c r="K11" s="8"/>
      <c r="L11" s="8"/>
      <c r="M11" s="17" t="str">
        <f t="shared" si="0"/>
        <v/>
      </c>
      <c r="N11" s="8"/>
      <c r="O11" s="8"/>
      <c r="P11" s="17" t="str">
        <f t="shared" si="2"/>
        <v/>
      </c>
      <c r="Q11" s="8"/>
      <c r="R11" s="8"/>
      <c r="S11" s="17" t="str">
        <f t="shared" si="3"/>
        <v/>
      </c>
      <c r="T11" s="22"/>
      <c r="U11" s="8">
        <f t="shared" si="4"/>
        <v>0</v>
      </c>
      <c r="V11" s="8">
        <f t="shared" si="4"/>
        <v>0</v>
      </c>
      <c r="W11" s="8" t="str">
        <f t="shared" si="5"/>
        <v>0</v>
      </c>
      <c r="X11" s="8">
        <f t="shared" si="6"/>
        <v>0</v>
      </c>
      <c r="Y11" s="25" t="str">
        <f t="shared" si="7"/>
        <v>0</v>
      </c>
    </row>
    <row r="12" spans="2:25" ht="15.6" x14ac:dyDescent="0.3">
      <c r="B12" s="9"/>
      <c r="C12" s="14" t="s">
        <v>39</v>
      </c>
      <c r="D12" s="11">
        <f>COUNT(H5:H35)</f>
        <v>31</v>
      </c>
      <c r="E12" s="9"/>
      <c r="G12" s="8">
        <v>8</v>
      </c>
      <c r="H12" s="7">
        <f t="shared" si="8"/>
        <v>45999</v>
      </c>
      <c r="I12" s="8" t="str">
        <f t="shared" si="1"/>
        <v>Mon</v>
      </c>
      <c r="J12" s="8" t="str">
        <f>IFERROR(VLOOKUP(H12,Sheet1!$A:$B,2,0),"")</f>
        <v/>
      </c>
      <c r="K12" s="8"/>
      <c r="L12" s="8"/>
      <c r="M12" s="17" t="str">
        <f t="shared" si="0"/>
        <v/>
      </c>
      <c r="N12" s="8"/>
      <c r="O12" s="8"/>
      <c r="P12" s="17" t="str">
        <f t="shared" si="2"/>
        <v/>
      </c>
      <c r="Q12" s="8"/>
      <c r="R12" s="8"/>
      <c r="S12" s="17" t="str">
        <f t="shared" si="3"/>
        <v/>
      </c>
      <c r="T12" s="22"/>
      <c r="U12" s="8">
        <f t="shared" si="4"/>
        <v>0</v>
      </c>
      <c r="V12" s="8">
        <f t="shared" si="4"/>
        <v>0</v>
      </c>
      <c r="W12" s="8" t="str">
        <f t="shared" si="5"/>
        <v>0</v>
      </c>
      <c r="X12" s="8">
        <f t="shared" si="6"/>
        <v>0</v>
      </c>
      <c r="Y12" s="25" t="str">
        <f t="shared" si="7"/>
        <v>0</v>
      </c>
    </row>
    <row r="13" spans="2:25" x14ac:dyDescent="0.3">
      <c r="B13" s="9"/>
      <c r="C13" s="14"/>
      <c r="D13" s="9"/>
      <c r="E13" s="9"/>
      <c r="G13" s="8">
        <v>9</v>
      </c>
      <c r="H13" s="7">
        <f t="shared" si="8"/>
        <v>46000</v>
      </c>
      <c r="I13" s="8" t="str">
        <f t="shared" si="1"/>
        <v>Tue</v>
      </c>
      <c r="J13" s="8" t="str">
        <f>IFERROR(VLOOKUP(H13,Sheet1!$A:$B,2,0),"")</f>
        <v/>
      </c>
      <c r="K13" s="8"/>
      <c r="L13" s="8"/>
      <c r="M13" s="17" t="str">
        <f t="shared" si="0"/>
        <v/>
      </c>
      <c r="N13" s="8"/>
      <c r="O13" s="8"/>
      <c r="P13" s="17" t="str">
        <f t="shared" si="2"/>
        <v/>
      </c>
      <c r="Q13" s="8"/>
      <c r="R13" s="8"/>
      <c r="S13" s="17" t="str">
        <f t="shared" si="3"/>
        <v/>
      </c>
      <c r="T13" s="22"/>
      <c r="U13" s="8">
        <f t="shared" si="4"/>
        <v>0</v>
      </c>
      <c r="V13" s="8">
        <f t="shared" si="4"/>
        <v>0</v>
      </c>
      <c r="W13" s="8" t="str">
        <f t="shared" si="5"/>
        <v>0</v>
      </c>
      <c r="X13" s="8">
        <f t="shared" si="6"/>
        <v>0</v>
      </c>
      <c r="Y13" s="25" t="str">
        <f t="shared" si="7"/>
        <v>0</v>
      </c>
    </row>
    <row r="14" spans="2:25" ht="15.6" x14ac:dyDescent="0.3">
      <c r="B14" s="9"/>
      <c r="C14" s="14" t="s">
        <v>40</v>
      </c>
      <c r="D14" s="11">
        <f>COUNTIF(I5:I35,"Sat")</f>
        <v>4</v>
      </c>
      <c r="E14" s="9"/>
      <c r="G14" s="8">
        <v>10</v>
      </c>
      <c r="H14" s="7">
        <f t="shared" si="8"/>
        <v>46001</v>
      </c>
      <c r="I14" s="8" t="str">
        <f t="shared" si="1"/>
        <v>Wed</v>
      </c>
      <c r="J14" s="8" t="str">
        <f>IFERROR(VLOOKUP(H14,Sheet1!$A:$B,2,0),"")</f>
        <v/>
      </c>
      <c r="K14" s="8"/>
      <c r="L14" s="8"/>
      <c r="M14" s="17" t="str">
        <f t="shared" si="0"/>
        <v/>
      </c>
      <c r="N14" s="8"/>
      <c r="O14" s="8"/>
      <c r="P14" s="17" t="str">
        <f t="shared" si="2"/>
        <v/>
      </c>
      <c r="Q14" s="8"/>
      <c r="R14" s="8"/>
      <c r="S14" s="17" t="str">
        <f t="shared" si="3"/>
        <v/>
      </c>
      <c r="T14" s="22"/>
      <c r="U14" s="8">
        <f t="shared" si="4"/>
        <v>0</v>
      </c>
      <c r="V14" s="8">
        <f t="shared" si="4"/>
        <v>0</v>
      </c>
      <c r="W14" s="8" t="str">
        <f t="shared" si="5"/>
        <v>0</v>
      </c>
      <c r="X14" s="8">
        <f t="shared" si="6"/>
        <v>0</v>
      </c>
      <c r="Y14" s="25" t="str">
        <f t="shared" si="7"/>
        <v>0</v>
      </c>
    </row>
    <row r="15" spans="2:25" ht="15.6" x14ac:dyDescent="0.3">
      <c r="B15" s="9"/>
      <c r="C15" s="14" t="s">
        <v>41</v>
      </c>
      <c r="D15" s="11">
        <f>COUNTIF(I5:I35,"Sun")</f>
        <v>4</v>
      </c>
      <c r="E15" s="9"/>
      <c r="G15" s="8">
        <v>11</v>
      </c>
      <c r="H15" s="7">
        <f t="shared" si="8"/>
        <v>46002</v>
      </c>
      <c r="I15" s="8" t="str">
        <f t="shared" si="1"/>
        <v>Thu</v>
      </c>
      <c r="J15" s="8" t="str">
        <f>IFERROR(VLOOKUP(H15,Sheet1!$A:$B,2,0),"")</f>
        <v/>
      </c>
      <c r="K15" s="20"/>
      <c r="L15" s="20"/>
      <c r="M15" s="17" t="str">
        <f t="shared" si="0"/>
        <v/>
      </c>
      <c r="N15" s="20"/>
      <c r="O15" s="20"/>
      <c r="P15" s="17" t="str">
        <f t="shared" si="2"/>
        <v/>
      </c>
      <c r="Q15" s="20"/>
      <c r="R15" s="20"/>
      <c r="S15" s="17" t="str">
        <f t="shared" si="3"/>
        <v/>
      </c>
      <c r="T15" s="22"/>
      <c r="U15" s="8">
        <f t="shared" si="4"/>
        <v>0</v>
      </c>
      <c r="V15" s="8">
        <f t="shared" si="4"/>
        <v>0</v>
      </c>
      <c r="W15" s="8" t="str">
        <f t="shared" si="5"/>
        <v>0</v>
      </c>
      <c r="X15" s="8">
        <f t="shared" si="6"/>
        <v>0</v>
      </c>
      <c r="Y15" s="25" t="str">
        <f t="shared" si="7"/>
        <v>0</v>
      </c>
    </row>
    <row r="16" spans="2:25" x14ac:dyDescent="0.3">
      <c r="B16" s="9"/>
      <c r="C16" s="14"/>
      <c r="D16" s="9"/>
      <c r="E16" s="9"/>
      <c r="G16" s="8">
        <v>12</v>
      </c>
      <c r="H16" s="7">
        <f t="shared" si="8"/>
        <v>46003</v>
      </c>
      <c r="I16" s="8" t="str">
        <f t="shared" si="1"/>
        <v>Fri</v>
      </c>
      <c r="J16" s="8" t="str">
        <f>IFERROR(VLOOKUP(H16,Sheet1!$A:$B,2,0),"")</f>
        <v/>
      </c>
      <c r="K16" s="21"/>
      <c r="L16" s="21"/>
      <c r="M16" s="17" t="str">
        <f t="shared" si="0"/>
        <v/>
      </c>
      <c r="N16" s="21"/>
      <c r="O16" s="21"/>
      <c r="P16" s="17" t="str">
        <f t="shared" si="2"/>
        <v/>
      </c>
      <c r="Q16" s="21"/>
      <c r="R16" s="21"/>
      <c r="S16" s="17" t="str">
        <f t="shared" si="3"/>
        <v/>
      </c>
      <c r="T16" s="22"/>
      <c r="U16" s="8">
        <f t="shared" si="4"/>
        <v>0</v>
      </c>
      <c r="V16" s="8">
        <f t="shared" si="4"/>
        <v>0</v>
      </c>
      <c r="W16" s="8" t="str">
        <f t="shared" si="5"/>
        <v>0</v>
      </c>
      <c r="X16" s="8">
        <f t="shared" si="6"/>
        <v>0</v>
      </c>
      <c r="Y16" s="25" t="str">
        <f t="shared" si="7"/>
        <v>0</v>
      </c>
    </row>
    <row r="17" spans="2:25" x14ac:dyDescent="0.3">
      <c r="B17" s="9"/>
      <c r="C17" s="34" t="s">
        <v>45</v>
      </c>
      <c r="D17" s="35">
        <f>MAX(U5:U35)</f>
        <v>0</v>
      </c>
      <c r="E17" s="9"/>
      <c r="G17" s="8">
        <v>13</v>
      </c>
      <c r="H17" s="7">
        <f t="shared" si="8"/>
        <v>46004</v>
      </c>
      <c r="I17" s="8" t="str">
        <f t="shared" si="1"/>
        <v>Sat</v>
      </c>
      <c r="J17" s="8" t="str">
        <f>IFERROR(VLOOKUP(H17,Sheet1!$A:$B,2,0),"")</f>
        <v/>
      </c>
      <c r="K17" s="8"/>
      <c r="L17" s="8"/>
      <c r="M17" s="17" t="str">
        <f t="shared" si="0"/>
        <v/>
      </c>
      <c r="N17" s="8"/>
      <c r="O17" s="8"/>
      <c r="P17" s="17" t="str">
        <f t="shared" si="2"/>
        <v/>
      </c>
      <c r="Q17" s="8"/>
      <c r="R17" s="8"/>
      <c r="S17" s="17" t="str">
        <f t="shared" si="3"/>
        <v/>
      </c>
      <c r="T17" s="22"/>
      <c r="U17" s="8">
        <f t="shared" si="4"/>
        <v>0</v>
      </c>
      <c r="V17" s="8">
        <f t="shared" si="4"/>
        <v>0</v>
      </c>
      <c r="W17" s="8" t="str">
        <f t="shared" si="5"/>
        <v>0</v>
      </c>
      <c r="X17" s="8">
        <f t="shared" si="6"/>
        <v>0</v>
      </c>
      <c r="Y17" s="25" t="str">
        <f t="shared" si="7"/>
        <v>0</v>
      </c>
    </row>
    <row r="18" spans="2:25" x14ac:dyDescent="0.3">
      <c r="B18" s="9"/>
      <c r="C18" s="34"/>
      <c r="D18" s="35"/>
      <c r="E18" s="9"/>
      <c r="G18" s="8">
        <v>14</v>
      </c>
      <c r="H18" s="7">
        <f t="shared" si="8"/>
        <v>46005</v>
      </c>
      <c r="I18" s="8" t="str">
        <f t="shared" si="1"/>
        <v>Sun</v>
      </c>
      <c r="J18" s="8" t="str">
        <f>IFERROR(VLOOKUP(H18,Sheet1!$A:$B,2,0),"")</f>
        <v/>
      </c>
      <c r="K18" s="8"/>
      <c r="L18" s="8"/>
      <c r="M18" s="17" t="str">
        <f t="shared" si="0"/>
        <v/>
      </c>
      <c r="N18" s="8"/>
      <c r="O18" s="8"/>
      <c r="P18" s="17" t="str">
        <f t="shared" si="2"/>
        <v/>
      </c>
      <c r="Q18" s="8"/>
      <c r="R18" s="8"/>
      <c r="S18" s="17" t="str">
        <f t="shared" si="3"/>
        <v/>
      </c>
      <c r="T18" s="22"/>
      <c r="U18" s="8">
        <f t="shared" si="4"/>
        <v>0</v>
      </c>
      <c r="V18" s="8">
        <f t="shared" si="4"/>
        <v>0</v>
      </c>
      <c r="W18" s="8" t="str">
        <f t="shared" si="5"/>
        <v>0</v>
      </c>
      <c r="X18" s="8">
        <f t="shared" si="6"/>
        <v>0</v>
      </c>
      <c r="Y18" s="25" t="str">
        <f t="shared" si="7"/>
        <v>0</v>
      </c>
    </row>
    <row r="19" spans="2:25" x14ac:dyDescent="0.3">
      <c r="B19" s="9"/>
      <c r="C19" s="14"/>
      <c r="D19" s="9"/>
      <c r="E19" s="9"/>
      <c r="G19" s="8">
        <v>15</v>
      </c>
      <c r="H19" s="7">
        <f t="shared" si="8"/>
        <v>46006</v>
      </c>
      <c r="I19" s="8" t="str">
        <f t="shared" si="1"/>
        <v>Mon</v>
      </c>
      <c r="J19" s="8" t="str">
        <f>IFERROR(VLOOKUP(H19,Sheet1!$A:$B,2,0),"")</f>
        <v/>
      </c>
      <c r="K19" s="8"/>
      <c r="L19" s="8"/>
      <c r="M19" s="17" t="str">
        <f t="shared" si="0"/>
        <v/>
      </c>
      <c r="N19" s="8"/>
      <c r="O19" s="8"/>
      <c r="P19" s="17" t="str">
        <f t="shared" si="2"/>
        <v/>
      </c>
      <c r="Q19" s="8"/>
      <c r="R19" s="8"/>
      <c r="S19" s="17" t="str">
        <f t="shared" si="3"/>
        <v/>
      </c>
      <c r="T19" s="22"/>
      <c r="U19" s="8">
        <f t="shared" si="4"/>
        <v>0</v>
      </c>
      <c r="V19" s="8">
        <f t="shared" si="4"/>
        <v>0</v>
      </c>
      <c r="W19" s="8" t="str">
        <f t="shared" si="5"/>
        <v>0</v>
      </c>
      <c r="X19" s="8">
        <f t="shared" si="6"/>
        <v>0</v>
      </c>
      <c r="Y19" s="25" t="str">
        <f t="shared" si="7"/>
        <v>0</v>
      </c>
    </row>
    <row r="20" spans="2:25" ht="14.4" customHeight="1" x14ac:dyDescent="0.3">
      <c r="B20" s="9"/>
      <c r="C20" s="36" t="s">
        <v>46</v>
      </c>
      <c r="D20" s="35">
        <f>MIN(U8:U38)</f>
        <v>0</v>
      </c>
      <c r="E20" s="9"/>
      <c r="G20" s="8">
        <v>16</v>
      </c>
      <c r="H20" s="7">
        <f t="shared" si="8"/>
        <v>46007</v>
      </c>
      <c r="I20" s="8" t="str">
        <f t="shared" si="1"/>
        <v>Tue</v>
      </c>
      <c r="J20" s="8" t="str">
        <f>IFERROR(VLOOKUP(H20,Sheet1!$A:$B,2,0),"")</f>
        <v/>
      </c>
      <c r="K20" s="8"/>
      <c r="L20" s="8"/>
      <c r="M20" s="17" t="str">
        <f t="shared" si="0"/>
        <v/>
      </c>
      <c r="N20" s="8"/>
      <c r="O20" s="8"/>
      <c r="P20" s="17" t="str">
        <f t="shared" si="2"/>
        <v/>
      </c>
      <c r="Q20" s="8"/>
      <c r="R20" s="8"/>
      <c r="S20" s="17" t="str">
        <f t="shared" si="3"/>
        <v/>
      </c>
      <c r="T20" s="22"/>
      <c r="U20" s="8">
        <f t="shared" si="4"/>
        <v>0</v>
      </c>
      <c r="V20" s="8">
        <f t="shared" si="4"/>
        <v>0</v>
      </c>
      <c r="W20" s="8" t="str">
        <f t="shared" si="5"/>
        <v>0</v>
      </c>
      <c r="X20" s="8">
        <f t="shared" si="6"/>
        <v>0</v>
      </c>
      <c r="Y20" s="25" t="str">
        <f t="shared" si="7"/>
        <v>0</v>
      </c>
    </row>
    <row r="21" spans="2:25" ht="14.4" customHeight="1" x14ac:dyDescent="0.3">
      <c r="B21" s="9"/>
      <c r="C21" s="36"/>
      <c r="D21" s="35"/>
      <c r="E21" s="9"/>
      <c r="G21" s="8">
        <v>17</v>
      </c>
      <c r="H21" s="7">
        <f t="shared" si="8"/>
        <v>46008</v>
      </c>
      <c r="I21" s="8" t="str">
        <f t="shared" si="1"/>
        <v>Wed</v>
      </c>
      <c r="J21" s="8" t="str">
        <f>IFERROR(VLOOKUP(H21,Sheet1!$A:$B,2,0),"")</f>
        <v/>
      </c>
      <c r="K21" s="8"/>
      <c r="L21" s="8"/>
      <c r="M21" s="17" t="str">
        <f t="shared" si="0"/>
        <v/>
      </c>
      <c r="N21" s="8"/>
      <c r="O21" s="8"/>
      <c r="P21" s="17" t="str">
        <f t="shared" si="2"/>
        <v/>
      </c>
      <c r="Q21" s="8"/>
      <c r="R21" s="8"/>
      <c r="S21" s="17" t="str">
        <f t="shared" si="3"/>
        <v/>
      </c>
      <c r="T21" s="22"/>
      <c r="U21" s="8">
        <f t="shared" si="4"/>
        <v>0</v>
      </c>
      <c r="V21" s="8">
        <f t="shared" si="4"/>
        <v>0</v>
      </c>
      <c r="W21" s="8" t="str">
        <f t="shared" si="5"/>
        <v>0</v>
      </c>
      <c r="X21" s="8">
        <f t="shared" si="6"/>
        <v>0</v>
      </c>
      <c r="Y21" s="25" t="str">
        <f t="shared" si="7"/>
        <v>0</v>
      </c>
    </row>
    <row r="22" spans="2:25" x14ac:dyDescent="0.3">
      <c r="B22" s="9"/>
      <c r="C22" s="14"/>
      <c r="D22" s="9"/>
      <c r="E22" s="9"/>
      <c r="G22" s="8">
        <v>18</v>
      </c>
      <c r="H22" s="7">
        <f t="shared" si="8"/>
        <v>46009</v>
      </c>
      <c r="I22" s="8" t="str">
        <f t="shared" si="1"/>
        <v>Thu</v>
      </c>
      <c r="J22" s="8" t="str">
        <f>IFERROR(VLOOKUP(H22,Sheet1!$A:$B,2,0),"")</f>
        <v/>
      </c>
      <c r="K22" s="20"/>
      <c r="L22" s="20"/>
      <c r="M22" s="17" t="str">
        <f t="shared" si="0"/>
        <v/>
      </c>
      <c r="N22" s="20"/>
      <c r="O22" s="20"/>
      <c r="P22" s="17" t="str">
        <f t="shared" si="2"/>
        <v/>
      </c>
      <c r="Q22" s="20"/>
      <c r="R22" s="20"/>
      <c r="S22" s="17" t="str">
        <f t="shared" si="3"/>
        <v/>
      </c>
      <c r="T22" s="22"/>
      <c r="U22" s="8">
        <f t="shared" si="4"/>
        <v>0</v>
      </c>
      <c r="V22" s="8">
        <f t="shared" si="4"/>
        <v>0</v>
      </c>
      <c r="W22" s="8" t="str">
        <f t="shared" si="5"/>
        <v>0</v>
      </c>
      <c r="X22" s="8">
        <f t="shared" si="6"/>
        <v>0</v>
      </c>
      <c r="Y22" s="25" t="str">
        <f t="shared" si="7"/>
        <v>0</v>
      </c>
    </row>
    <row r="23" spans="2:25" ht="15.6" x14ac:dyDescent="0.3">
      <c r="B23" s="9"/>
      <c r="C23" s="14" t="s">
        <v>47</v>
      </c>
      <c r="D23" s="11" t="str">
        <f>IF(U36&gt;T36,"Yes","No")</f>
        <v>No</v>
      </c>
      <c r="E23" s="9"/>
      <c r="G23" s="8">
        <v>19</v>
      </c>
      <c r="H23" s="7">
        <f t="shared" si="8"/>
        <v>46010</v>
      </c>
      <c r="I23" s="8" t="str">
        <f t="shared" si="1"/>
        <v>Fri</v>
      </c>
      <c r="J23" s="8" t="str">
        <f>IFERROR(VLOOKUP(H23,Sheet1!$A:$B,2,0),"")</f>
        <v/>
      </c>
      <c r="K23" s="21"/>
      <c r="L23" s="21"/>
      <c r="M23" s="17" t="str">
        <f t="shared" si="0"/>
        <v/>
      </c>
      <c r="N23" s="21"/>
      <c r="O23" s="21"/>
      <c r="P23" s="17" t="str">
        <f t="shared" si="2"/>
        <v/>
      </c>
      <c r="Q23" s="21"/>
      <c r="R23" s="21"/>
      <c r="S23" s="17" t="str">
        <f t="shared" si="3"/>
        <v/>
      </c>
      <c r="T23" s="22"/>
      <c r="U23" s="8">
        <f t="shared" si="4"/>
        <v>0</v>
      </c>
      <c r="V23" s="8">
        <f t="shared" si="4"/>
        <v>0</v>
      </c>
      <c r="W23" s="8" t="str">
        <f t="shared" si="5"/>
        <v>0</v>
      </c>
      <c r="X23" s="8">
        <f t="shared" si="6"/>
        <v>0</v>
      </c>
      <c r="Y23" s="25" t="str">
        <f t="shared" si="7"/>
        <v>0</v>
      </c>
    </row>
    <row r="24" spans="2:25" x14ac:dyDescent="0.3">
      <c r="B24" s="9"/>
      <c r="C24" s="14"/>
      <c r="D24" s="9"/>
      <c r="E24" s="9"/>
      <c r="G24" s="8">
        <v>20</v>
      </c>
      <c r="H24" s="7">
        <f t="shared" si="8"/>
        <v>46011</v>
      </c>
      <c r="I24" s="8" t="str">
        <f t="shared" si="1"/>
        <v>Sat</v>
      </c>
      <c r="J24" s="8" t="str">
        <f>IFERROR(VLOOKUP(H24,Sheet1!$A:$B,2,0),"")</f>
        <v/>
      </c>
      <c r="K24" s="8"/>
      <c r="L24" s="8"/>
      <c r="M24" s="17" t="str">
        <f t="shared" si="0"/>
        <v/>
      </c>
      <c r="N24" s="8"/>
      <c r="O24" s="8"/>
      <c r="P24" s="17" t="str">
        <f t="shared" si="2"/>
        <v/>
      </c>
      <c r="Q24" s="8"/>
      <c r="R24" s="8"/>
      <c r="S24" s="17" t="str">
        <f t="shared" si="3"/>
        <v/>
      </c>
      <c r="T24" s="22"/>
      <c r="U24" s="8">
        <f t="shared" si="4"/>
        <v>0</v>
      </c>
      <c r="V24" s="8">
        <f t="shared" si="4"/>
        <v>0</v>
      </c>
      <c r="W24" s="8" t="str">
        <f t="shared" si="5"/>
        <v>0</v>
      </c>
      <c r="X24" s="8">
        <f t="shared" si="6"/>
        <v>0</v>
      </c>
      <c r="Y24" s="25" t="str">
        <f t="shared" si="7"/>
        <v>0</v>
      </c>
    </row>
    <row r="25" spans="2:25" ht="15.6" x14ac:dyDescent="0.3">
      <c r="B25" s="9"/>
      <c r="C25" s="14" t="s">
        <v>48</v>
      </c>
      <c r="D25" s="12">
        <f>U36</f>
        <v>0</v>
      </c>
      <c r="E25" s="9"/>
      <c r="G25" s="8">
        <v>21</v>
      </c>
      <c r="H25" s="7">
        <f t="shared" si="8"/>
        <v>46012</v>
      </c>
      <c r="I25" s="8" t="str">
        <f t="shared" si="1"/>
        <v>Sun</v>
      </c>
      <c r="J25" s="8" t="str">
        <f>IFERROR(VLOOKUP(H25,Sheet1!$A:$B,2,0),"")</f>
        <v/>
      </c>
      <c r="K25" s="8"/>
      <c r="L25" s="8"/>
      <c r="M25" s="17" t="str">
        <f t="shared" si="0"/>
        <v/>
      </c>
      <c r="N25" s="8"/>
      <c r="O25" s="8"/>
      <c r="P25" s="17" t="str">
        <f t="shared" si="2"/>
        <v/>
      </c>
      <c r="Q25" s="8"/>
      <c r="R25" s="8"/>
      <c r="S25" s="17" t="str">
        <f t="shared" si="3"/>
        <v/>
      </c>
      <c r="T25" s="22"/>
      <c r="U25" s="8">
        <f t="shared" si="4"/>
        <v>0</v>
      </c>
      <c r="V25" s="8">
        <f t="shared" si="4"/>
        <v>0</v>
      </c>
      <c r="W25" s="8" t="str">
        <f t="shared" si="5"/>
        <v>0</v>
      </c>
      <c r="X25" s="8">
        <f t="shared" si="6"/>
        <v>0</v>
      </c>
      <c r="Y25" s="25" t="str">
        <f t="shared" si="7"/>
        <v>0</v>
      </c>
    </row>
    <row r="26" spans="2:25" x14ac:dyDescent="0.3">
      <c r="B26" s="9"/>
      <c r="C26" s="14"/>
      <c r="D26" s="9"/>
      <c r="E26" s="9"/>
      <c r="G26" s="8">
        <v>22</v>
      </c>
      <c r="H26" s="7">
        <f t="shared" si="8"/>
        <v>46013</v>
      </c>
      <c r="I26" s="8" t="str">
        <f t="shared" si="1"/>
        <v>Mon</v>
      </c>
      <c r="J26" s="8" t="str">
        <f>IFERROR(VLOOKUP(H26,Sheet1!$A:$B,2,0),"")</f>
        <v/>
      </c>
      <c r="K26" s="8"/>
      <c r="L26" s="8"/>
      <c r="M26" s="17" t="str">
        <f t="shared" si="0"/>
        <v/>
      </c>
      <c r="N26" s="8"/>
      <c r="O26" s="8"/>
      <c r="P26" s="17" t="str">
        <f t="shared" si="2"/>
        <v/>
      </c>
      <c r="Q26" s="8"/>
      <c r="R26" s="8"/>
      <c r="S26" s="17" t="str">
        <f t="shared" si="3"/>
        <v/>
      </c>
      <c r="T26" s="22"/>
      <c r="U26" s="8">
        <f t="shared" si="4"/>
        <v>0</v>
      </c>
      <c r="V26" s="8">
        <f t="shared" si="4"/>
        <v>0</v>
      </c>
      <c r="W26" s="8" t="str">
        <f t="shared" si="5"/>
        <v>0</v>
      </c>
      <c r="X26" s="8">
        <f t="shared" si="6"/>
        <v>0</v>
      </c>
      <c r="Y26" s="25" t="str">
        <f t="shared" si="7"/>
        <v>0</v>
      </c>
    </row>
    <row r="27" spans="2:25" ht="15.6" x14ac:dyDescent="0.3">
      <c r="B27" s="9"/>
      <c r="C27" s="14" t="s">
        <v>49</v>
      </c>
      <c r="D27" s="27">
        <f>IFERROR(AVERAGE(U5:U35),"0")</f>
        <v>0</v>
      </c>
      <c r="E27" s="9"/>
      <c r="G27" s="8">
        <v>23</v>
      </c>
      <c r="H27" s="7">
        <f t="shared" si="8"/>
        <v>46014</v>
      </c>
      <c r="I27" s="8" t="str">
        <f t="shared" si="1"/>
        <v>Tue</v>
      </c>
      <c r="J27" s="8" t="str">
        <f>IFERROR(VLOOKUP(H27,Sheet1!$A:$B,2,0),"")</f>
        <v/>
      </c>
      <c r="K27" s="8"/>
      <c r="L27" s="8"/>
      <c r="M27" s="17" t="str">
        <f t="shared" si="0"/>
        <v/>
      </c>
      <c r="N27" s="8"/>
      <c r="O27" s="8"/>
      <c r="P27" s="17" t="str">
        <f t="shared" si="2"/>
        <v/>
      </c>
      <c r="Q27" s="8"/>
      <c r="R27" s="8"/>
      <c r="S27" s="17" t="str">
        <f t="shared" si="3"/>
        <v/>
      </c>
      <c r="T27" s="22"/>
      <c r="U27" s="8">
        <f t="shared" si="4"/>
        <v>0</v>
      </c>
      <c r="V27" s="8">
        <f t="shared" si="4"/>
        <v>0</v>
      </c>
      <c r="W27" s="8" t="str">
        <f t="shared" si="5"/>
        <v>0</v>
      </c>
      <c r="X27" s="8">
        <f t="shared" si="6"/>
        <v>0</v>
      </c>
      <c r="Y27" s="25" t="str">
        <f t="shared" si="7"/>
        <v>0</v>
      </c>
    </row>
    <row r="28" spans="2:25" ht="15.6" x14ac:dyDescent="0.3">
      <c r="B28" s="9"/>
      <c r="C28" s="14" t="s">
        <v>50</v>
      </c>
      <c r="D28" s="12">
        <f>K36</f>
        <v>0</v>
      </c>
      <c r="E28" s="9"/>
      <c r="G28" s="8">
        <v>24</v>
      </c>
      <c r="H28" s="7">
        <f t="shared" si="8"/>
        <v>46015</v>
      </c>
      <c r="I28" s="8" t="str">
        <f t="shared" si="1"/>
        <v>Wed</v>
      </c>
      <c r="J28" s="8" t="str">
        <f>IFERROR(VLOOKUP(H28,Sheet1!$A:$B,2,0),"")</f>
        <v/>
      </c>
      <c r="K28" s="8"/>
      <c r="L28" s="8"/>
      <c r="M28" s="17" t="str">
        <f t="shared" si="0"/>
        <v/>
      </c>
      <c r="N28" s="8"/>
      <c r="O28" s="8"/>
      <c r="P28" s="17" t="str">
        <f t="shared" si="2"/>
        <v/>
      </c>
      <c r="Q28" s="8"/>
      <c r="R28" s="8"/>
      <c r="S28" s="17" t="str">
        <f t="shared" si="3"/>
        <v/>
      </c>
      <c r="T28" s="22"/>
      <c r="U28" s="8">
        <f t="shared" si="4"/>
        <v>0</v>
      </c>
      <c r="V28" s="8">
        <f t="shared" si="4"/>
        <v>0</v>
      </c>
      <c r="W28" s="8" t="str">
        <f t="shared" si="5"/>
        <v>0</v>
      </c>
      <c r="X28" s="8">
        <f t="shared" si="6"/>
        <v>0</v>
      </c>
      <c r="Y28" s="25" t="str">
        <f t="shared" si="7"/>
        <v>0</v>
      </c>
    </row>
    <row r="29" spans="2:25" ht="15.6" x14ac:dyDescent="0.3">
      <c r="B29" s="9"/>
      <c r="C29" s="14" t="s">
        <v>51</v>
      </c>
      <c r="D29" s="12">
        <f>N36</f>
        <v>0</v>
      </c>
      <c r="E29" s="9"/>
      <c r="G29" s="8">
        <v>25</v>
      </c>
      <c r="H29" s="7">
        <f t="shared" si="8"/>
        <v>46016</v>
      </c>
      <c r="I29" s="8" t="str">
        <f t="shared" si="1"/>
        <v>Thu</v>
      </c>
      <c r="J29" s="8" t="str">
        <f>IFERROR(VLOOKUP(H29,Sheet1!$A:$B,2,0),"")</f>
        <v>Christmas</v>
      </c>
      <c r="K29" s="20"/>
      <c r="L29" s="20"/>
      <c r="M29" s="17" t="str">
        <f t="shared" si="0"/>
        <v/>
      </c>
      <c r="N29" s="20"/>
      <c r="O29" s="20"/>
      <c r="P29" s="17" t="str">
        <f t="shared" si="2"/>
        <v/>
      </c>
      <c r="Q29" s="20"/>
      <c r="R29" s="20"/>
      <c r="S29" s="17" t="str">
        <f t="shared" si="3"/>
        <v/>
      </c>
      <c r="T29" s="22"/>
      <c r="U29" s="8">
        <f t="shared" si="4"/>
        <v>0</v>
      </c>
      <c r="V29" s="8">
        <f t="shared" si="4"/>
        <v>0</v>
      </c>
      <c r="W29" s="8" t="str">
        <f t="shared" si="5"/>
        <v>0</v>
      </c>
      <c r="X29" s="8">
        <f t="shared" si="6"/>
        <v>0</v>
      </c>
      <c r="Y29" s="25" t="str">
        <f t="shared" si="7"/>
        <v>0</v>
      </c>
    </row>
    <row r="30" spans="2:25" ht="15.6" x14ac:dyDescent="0.3">
      <c r="B30" s="9"/>
      <c r="C30" s="14" t="s">
        <v>52</v>
      </c>
      <c r="D30" s="12">
        <f>Q36</f>
        <v>0</v>
      </c>
      <c r="E30" s="9"/>
      <c r="G30" s="8">
        <v>26</v>
      </c>
      <c r="H30" s="7">
        <f t="shared" si="8"/>
        <v>46017</v>
      </c>
      <c r="I30" s="8" t="str">
        <f t="shared" si="1"/>
        <v>Fri</v>
      </c>
      <c r="J30" s="8" t="str">
        <f>IFERROR(VLOOKUP(H30,Sheet1!$A:$B,2,0),"")</f>
        <v/>
      </c>
      <c r="K30" s="21"/>
      <c r="L30" s="21"/>
      <c r="M30" s="17" t="str">
        <f t="shared" si="0"/>
        <v/>
      </c>
      <c r="N30" s="21"/>
      <c r="O30" s="21"/>
      <c r="P30" s="17" t="str">
        <f t="shared" si="2"/>
        <v/>
      </c>
      <c r="Q30" s="21"/>
      <c r="R30" s="21"/>
      <c r="S30" s="17" t="str">
        <f t="shared" si="3"/>
        <v/>
      </c>
      <c r="T30" s="22"/>
      <c r="U30" s="8">
        <f t="shared" si="4"/>
        <v>0</v>
      </c>
      <c r="V30" s="8">
        <f t="shared" si="4"/>
        <v>0</v>
      </c>
      <c r="W30" s="8" t="str">
        <f t="shared" si="5"/>
        <v>0</v>
      </c>
      <c r="X30" s="8">
        <f t="shared" si="6"/>
        <v>0</v>
      </c>
      <c r="Y30" s="25" t="str">
        <f t="shared" si="7"/>
        <v>0</v>
      </c>
    </row>
    <row r="31" spans="2:25" x14ac:dyDescent="0.3">
      <c r="B31" s="9"/>
      <c r="C31" s="14"/>
      <c r="D31" s="9"/>
      <c r="E31" s="9"/>
      <c r="G31" s="8">
        <v>27</v>
      </c>
      <c r="H31" s="7">
        <f t="shared" si="8"/>
        <v>46018</v>
      </c>
      <c r="I31" s="8" t="str">
        <f t="shared" si="1"/>
        <v>Sat</v>
      </c>
      <c r="J31" s="8" t="str">
        <f>IFERROR(VLOOKUP(H31,Sheet1!$A:$B,2,0),"")</f>
        <v/>
      </c>
      <c r="K31" s="8"/>
      <c r="L31" s="8"/>
      <c r="M31" s="17" t="str">
        <f t="shared" si="0"/>
        <v/>
      </c>
      <c r="N31" s="8"/>
      <c r="O31" s="8"/>
      <c r="P31" s="17" t="str">
        <f t="shared" si="2"/>
        <v/>
      </c>
      <c r="Q31" s="8"/>
      <c r="R31" s="8"/>
      <c r="S31" s="17" t="str">
        <f t="shared" si="3"/>
        <v/>
      </c>
      <c r="T31" s="22"/>
      <c r="U31" s="8">
        <f t="shared" si="4"/>
        <v>0</v>
      </c>
      <c r="V31" s="8">
        <f t="shared" si="4"/>
        <v>0</v>
      </c>
      <c r="W31" s="8" t="str">
        <f t="shared" si="5"/>
        <v>0</v>
      </c>
      <c r="X31" s="8">
        <f t="shared" si="6"/>
        <v>0</v>
      </c>
      <c r="Y31" s="25" t="str">
        <f t="shared" si="7"/>
        <v>0</v>
      </c>
    </row>
    <row r="32" spans="2:25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7">
        <f t="shared" si="8"/>
        <v>46019</v>
      </c>
      <c r="I32" s="8" t="str">
        <f t="shared" si="1"/>
        <v>Sun</v>
      </c>
      <c r="J32" s="8" t="str">
        <f>IFERROR(VLOOKUP(H32,Sheet1!$A:$B,2,0),"")</f>
        <v/>
      </c>
      <c r="K32" s="8"/>
      <c r="L32" s="8"/>
      <c r="M32" s="17" t="str">
        <f t="shared" si="0"/>
        <v/>
      </c>
      <c r="N32" s="8"/>
      <c r="O32" s="8"/>
      <c r="P32" s="17" t="str">
        <f t="shared" si="2"/>
        <v/>
      </c>
      <c r="Q32" s="8"/>
      <c r="R32" s="8"/>
      <c r="S32" s="17" t="str">
        <f t="shared" si="3"/>
        <v/>
      </c>
      <c r="T32" s="22"/>
      <c r="U32" s="8">
        <f t="shared" si="4"/>
        <v>0</v>
      </c>
      <c r="V32" s="8">
        <f t="shared" si="4"/>
        <v>0</v>
      </c>
      <c r="W32" s="8" t="str">
        <f t="shared" si="5"/>
        <v>0</v>
      </c>
      <c r="X32" s="8">
        <f t="shared" si="6"/>
        <v>0</v>
      </c>
      <c r="Y32" s="25" t="str">
        <f t="shared" si="7"/>
        <v>0</v>
      </c>
    </row>
    <row r="33" spans="2:25" ht="15.6" x14ac:dyDescent="0.3">
      <c r="B33" s="9"/>
      <c r="C33" s="14" t="s">
        <v>54</v>
      </c>
      <c r="D33" s="16">
        <v>5000</v>
      </c>
      <c r="E33" s="9"/>
      <c r="G33" s="8">
        <v>29</v>
      </c>
      <c r="H33" s="7">
        <f t="shared" si="8"/>
        <v>46020</v>
      </c>
      <c r="I33" s="8" t="str">
        <f t="shared" si="1"/>
        <v>Mon</v>
      </c>
      <c r="J33" s="8" t="str">
        <f>IFERROR(VLOOKUP(H33,Sheet1!$A:$B,2,0),"")</f>
        <v/>
      </c>
      <c r="K33" s="8"/>
      <c r="L33" s="8"/>
      <c r="M33" s="17" t="str">
        <f t="shared" si="0"/>
        <v/>
      </c>
      <c r="N33" s="8"/>
      <c r="O33" s="8"/>
      <c r="P33" s="17" t="str">
        <f t="shared" si="2"/>
        <v/>
      </c>
      <c r="Q33" s="8"/>
      <c r="R33" s="8"/>
      <c r="S33" s="17" t="str">
        <f t="shared" si="3"/>
        <v/>
      </c>
      <c r="T33" s="22"/>
      <c r="U33" s="8">
        <f t="shared" si="4"/>
        <v>0</v>
      </c>
      <c r="V33" s="8">
        <f t="shared" si="4"/>
        <v>0</v>
      </c>
      <c r="W33" s="8" t="str">
        <f t="shared" si="5"/>
        <v>0</v>
      </c>
      <c r="X33" s="8">
        <f t="shared" si="6"/>
        <v>0</v>
      </c>
      <c r="Y33" s="25" t="str">
        <f t="shared" si="7"/>
        <v>0</v>
      </c>
    </row>
    <row r="34" spans="2:25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7">
        <f t="shared" si="8"/>
        <v>46021</v>
      </c>
      <c r="I34" s="8" t="str">
        <f t="shared" si="1"/>
        <v>Tue</v>
      </c>
      <c r="J34" s="8" t="str">
        <f>IFERROR(VLOOKUP(H34,Sheet1!$A:$B,2,0),"")</f>
        <v/>
      </c>
      <c r="K34" s="8"/>
      <c r="L34" s="8"/>
      <c r="M34" s="17" t="str">
        <f t="shared" si="0"/>
        <v/>
      </c>
      <c r="N34" s="8"/>
      <c r="O34" s="8"/>
      <c r="P34" s="17" t="str">
        <f t="shared" si="2"/>
        <v/>
      </c>
      <c r="Q34" s="8"/>
      <c r="R34" s="8"/>
      <c r="S34" s="17" t="str">
        <f t="shared" si="3"/>
        <v/>
      </c>
      <c r="T34" s="22"/>
      <c r="U34" s="8">
        <f t="shared" si="4"/>
        <v>0</v>
      </c>
      <c r="V34" s="8">
        <f t="shared" si="4"/>
        <v>0</v>
      </c>
      <c r="W34" s="8" t="str">
        <f t="shared" si="5"/>
        <v>0</v>
      </c>
      <c r="X34" s="8">
        <f t="shared" si="6"/>
        <v>0</v>
      </c>
      <c r="Y34" s="25" t="str">
        <f t="shared" si="7"/>
        <v>0</v>
      </c>
    </row>
    <row r="35" spans="2:25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7">
        <f t="shared" si="8"/>
        <v>46022</v>
      </c>
      <c r="I35" s="8" t="str">
        <f t="shared" si="1"/>
        <v>Wed</v>
      </c>
      <c r="J35" s="8" t="str">
        <f>IFERROR(VLOOKUP(H35,Sheet1!$A:$B,2,0),"")</f>
        <v/>
      </c>
      <c r="K35" s="8"/>
      <c r="L35" s="8"/>
      <c r="M35" s="17" t="str">
        <f t="shared" si="0"/>
        <v/>
      </c>
      <c r="N35" s="8"/>
      <c r="O35" s="8"/>
      <c r="P35" s="17" t="str">
        <f t="shared" si="2"/>
        <v/>
      </c>
      <c r="Q35" s="8"/>
      <c r="R35" s="8"/>
      <c r="S35" s="17" t="str">
        <f t="shared" si="3"/>
        <v/>
      </c>
      <c r="T35" s="22"/>
      <c r="U35" s="8">
        <f t="shared" si="4"/>
        <v>0</v>
      </c>
      <c r="V35" s="8">
        <f t="shared" si="4"/>
        <v>0</v>
      </c>
      <c r="W35" s="8" t="str">
        <f t="shared" si="5"/>
        <v>0</v>
      </c>
      <c r="X35" s="8">
        <f t="shared" si="6"/>
        <v>0</v>
      </c>
      <c r="Y35" s="25" t="str">
        <f t="shared" si="7"/>
        <v>0</v>
      </c>
    </row>
    <row r="36" spans="2:25" x14ac:dyDescent="0.3">
      <c r="B36" s="9"/>
      <c r="C36" s="14"/>
      <c r="D36" s="9"/>
      <c r="E36" s="9"/>
      <c r="G36" s="32" t="s">
        <v>69</v>
      </c>
      <c r="H36" s="32"/>
      <c r="I36" s="32"/>
      <c r="J36" s="32"/>
      <c r="K36" s="26">
        <f>SUM(K5:K35)</f>
        <v>0</v>
      </c>
      <c r="L36" s="26">
        <f t="shared" ref="L36:Y36" si="9">SUM(L5:L35)</f>
        <v>0</v>
      </c>
      <c r="M36" s="26" t="str">
        <f t="shared" ref="M36" si="10">IFERROR(K36/L36,"0")</f>
        <v>0</v>
      </c>
      <c r="N36" s="26">
        <f t="shared" si="9"/>
        <v>0</v>
      </c>
      <c r="O36" s="26">
        <f t="shared" si="9"/>
        <v>0</v>
      </c>
      <c r="P36" s="26" t="str">
        <f t="shared" ref="P36" si="11">IFERROR(N36/O36,"0")</f>
        <v>0</v>
      </c>
      <c r="Q36" s="26">
        <f t="shared" si="9"/>
        <v>0</v>
      </c>
      <c r="R36" s="26">
        <f t="shared" si="9"/>
        <v>0</v>
      </c>
      <c r="S36" s="26" t="str">
        <f t="shared" ref="S36" si="12">IFERROR(Q36/R36,"0")</f>
        <v>0</v>
      </c>
      <c r="T36" s="26">
        <f t="shared" si="9"/>
        <v>0</v>
      </c>
      <c r="U36" s="26">
        <f t="shared" si="9"/>
        <v>0</v>
      </c>
      <c r="V36" s="26">
        <f t="shared" si="9"/>
        <v>0</v>
      </c>
      <c r="W36" s="26" t="str">
        <f t="shared" si="5"/>
        <v>0</v>
      </c>
      <c r="X36" s="26">
        <f t="shared" si="9"/>
        <v>0</v>
      </c>
      <c r="Y36" s="26">
        <f t="shared" si="9"/>
        <v>0</v>
      </c>
    </row>
  </sheetData>
  <mergeCells count="8">
    <mergeCell ref="G36:J36"/>
    <mergeCell ref="B2:E2"/>
    <mergeCell ref="G3:S3"/>
    <mergeCell ref="T3:Y3"/>
    <mergeCell ref="C17:C18"/>
    <mergeCell ref="D17:D18"/>
    <mergeCell ref="C20:C21"/>
    <mergeCell ref="D20:D21"/>
  </mergeCells>
  <conditionalFormatting sqref="D23">
    <cfRule type="cellIs" dxfId="13" priority="1" operator="equal">
      <formula>"No"</formula>
    </cfRule>
    <cfRule type="cellIs" dxfId="12" priority="2" operator="equal">
      <formula>"Yes"</formula>
    </cfRule>
  </conditionalFormatting>
  <conditionalFormatting sqref="H5:S35 K36:L36 N36:O36 Q36:R36 T36:V36 X36:Y36">
    <cfRule type="expression" dxfId="11" priority="3">
      <formula>$J5&lt;&gt;""</formula>
    </cfRule>
    <cfRule type="expression" dxfId="10" priority="4">
      <formula>$J5&lt;&gt;""</formula>
    </cfRule>
    <cfRule type="expression" dxfId="9" priority="5">
      <formula>$J5&lt;&gt;""</formula>
    </cfRule>
    <cfRule type="expression" dxfId="8" priority="6">
      <formula>$I5="Sun"</formula>
    </cfRule>
    <cfRule type="expression" dxfId="7" priority="7">
      <formula>$I5="Sat"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79ADC9-9D74-44EF-BB10-54063FD814F2}">
          <x14:formula1>
            <xm:f>Sheet1!$E$3:$E$15</xm:f>
          </x14:formula1>
          <xm:sqref>D6</xm:sqref>
        </x14:dataValidation>
        <x14:dataValidation type="list" allowBlank="1" showInputMessage="1" showErrorMessage="1" xr:uid="{835B2510-4A08-4B11-ADFF-BEFDF7297A7D}">
          <x14:formula1>
            <xm:f>Sheet1!$D$3:$D$15</xm:f>
          </x14:formula1>
          <xm:sqref>D4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26A4-298B-438D-99CE-2F0965054C91}">
  <dimension ref="B2:M36"/>
  <sheetViews>
    <sheetView showGridLines="0" zoomScale="70" zoomScaleNormal="70" workbookViewId="0">
      <selection activeCell="J26" sqref="J26"/>
    </sheetView>
  </sheetViews>
  <sheetFormatPr defaultRowHeight="14.4" x14ac:dyDescent="0.3"/>
  <cols>
    <col min="1" max="1" width="1.109375" customWidth="1"/>
    <col min="2" max="2" width="2.33203125" customWidth="1"/>
    <col min="3" max="3" width="21.33203125" style="15" bestFit="1" customWidth="1"/>
    <col min="4" max="4" width="13.88671875" bestFit="1" customWidth="1"/>
    <col min="5" max="5" width="2.33203125" customWidth="1"/>
    <col min="6" max="6" width="2.109375" customWidth="1"/>
    <col min="7" max="7" width="8.88671875" style="3"/>
    <col min="8" max="8" width="10.6640625" bestFit="1" customWidth="1"/>
    <col min="9" max="9" width="9.6640625" style="3" bestFit="1" customWidth="1"/>
    <col min="10" max="10" width="9" style="3" bestFit="1" customWidth="1"/>
    <col min="11" max="11" width="8.21875" style="3" bestFit="1" customWidth="1"/>
    <col min="12" max="12" width="17.21875" style="3" bestFit="1" customWidth="1"/>
    <col min="13" max="13" width="9" style="23" customWidth="1"/>
  </cols>
  <sheetData>
    <row r="2" spans="2:13" ht="18.600000000000001" x14ac:dyDescent="0.45">
      <c r="B2" s="33" t="s">
        <v>35</v>
      </c>
      <c r="C2" s="33"/>
      <c r="D2" s="33"/>
      <c r="E2" s="33"/>
    </row>
    <row r="3" spans="2:13" ht="18.600000000000001" x14ac:dyDescent="0.45">
      <c r="B3" s="9"/>
      <c r="C3" s="14"/>
      <c r="D3" s="9"/>
      <c r="E3" s="9"/>
      <c r="G3" s="19"/>
      <c r="H3" s="31" t="s">
        <v>70</v>
      </c>
      <c r="I3" s="31"/>
      <c r="J3" s="31"/>
      <c r="K3" s="31"/>
      <c r="L3" s="31"/>
      <c r="M3" s="31"/>
    </row>
    <row r="4" spans="2:13" ht="15.6" x14ac:dyDescent="0.3">
      <c r="B4" s="9"/>
      <c r="C4" s="14" t="s">
        <v>36</v>
      </c>
      <c r="D4" s="11" t="s">
        <v>17</v>
      </c>
      <c r="E4" s="9"/>
      <c r="G4" s="4" t="s">
        <v>42</v>
      </c>
      <c r="H4" s="18" t="s">
        <v>63</v>
      </c>
      <c r="I4" s="18" t="s">
        <v>53</v>
      </c>
      <c r="J4" s="18" t="s">
        <v>64</v>
      </c>
      <c r="K4" s="18" t="s">
        <v>58</v>
      </c>
      <c r="L4" s="18" t="s">
        <v>68</v>
      </c>
      <c r="M4" s="24" t="s">
        <v>65</v>
      </c>
    </row>
    <row r="5" spans="2:13" x14ac:dyDescent="0.3">
      <c r="B5" s="9"/>
      <c r="C5" s="14"/>
      <c r="D5" s="9"/>
      <c r="E5" s="9"/>
      <c r="G5" s="8">
        <v>1</v>
      </c>
      <c r="H5" s="22">
        <f>SUM(Jan:Dec!T5)</f>
        <v>0</v>
      </c>
      <c r="I5" s="8">
        <f>SUM(Jan:Dec!U5)</f>
        <v>0</v>
      </c>
      <c r="J5" s="8">
        <f>SUM(Jan:Dec!V5)</f>
        <v>0</v>
      </c>
      <c r="K5" s="8" t="str">
        <f>IFERROR(I5/J5,"0")</f>
        <v>0</v>
      </c>
      <c r="L5" s="8">
        <f>SUM(Jan:Dec!X5)</f>
        <v>0</v>
      </c>
      <c r="M5" s="25" t="str">
        <f>IFERROR(I5/H5,"0")</f>
        <v>0</v>
      </c>
    </row>
    <row r="6" spans="2:13" ht="15.6" x14ac:dyDescent="0.3">
      <c r="B6" s="9"/>
      <c r="C6" s="14" t="s">
        <v>4</v>
      </c>
      <c r="D6" s="11">
        <v>2025</v>
      </c>
      <c r="E6" s="9"/>
      <c r="G6" s="8">
        <v>2</v>
      </c>
      <c r="H6" s="22">
        <f>SUM(Jan:Dec!T6)</f>
        <v>0</v>
      </c>
      <c r="I6" s="8">
        <f>SUM(Jan:Dec!U6)</f>
        <v>0</v>
      </c>
      <c r="J6" s="8">
        <f>SUM(Jan:Dec!V6)</f>
        <v>0</v>
      </c>
      <c r="K6" s="8" t="str">
        <f t="shared" ref="K6:K35" si="0">IFERROR(I6/J6,"0")</f>
        <v>0</v>
      </c>
      <c r="L6" s="8">
        <f>SUM(Jan:Dec!X6)</f>
        <v>0</v>
      </c>
      <c r="M6" s="25" t="str">
        <f t="shared" ref="M6:M35" si="1">IFERROR(I6/H6,"0")</f>
        <v>0</v>
      </c>
    </row>
    <row r="7" spans="2:13" x14ac:dyDescent="0.3">
      <c r="B7" s="9"/>
      <c r="C7" s="14"/>
      <c r="D7" s="9"/>
      <c r="E7" s="9"/>
      <c r="G7" s="8">
        <v>3</v>
      </c>
      <c r="H7" s="22">
        <f>SUM(Jan:Dec!T7)</f>
        <v>0</v>
      </c>
      <c r="I7" s="8">
        <f>SUM(Jan:Dec!U7)</f>
        <v>0</v>
      </c>
      <c r="J7" s="8">
        <f>SUM(Jan:Dec!V7)</f>
        <v>0</v>
      </c>
      <c r="K7" s="8" t="str">
        <f t="shared" si="0"/>
        <v>0</v>
      </c>
      <c r="L7" s="8">
        <f>SUM(Jan:Dec!X7)</f>
        <v>0</v>
      </c>
      <c r="M7" s="25" t="str">
        <f t="shared" si="1"/>
        <v>0</v>
      </c>
    </row>
    <row r="8" spans="2:13" ht="15.6" x14ac:dyDescent="0.3">
      <c r="B8" s="9"/>
      <c r="C8" s="14" t="s">
        <v>71</v>
      </c>
      <c r="D8" s="13" t="s">
        <v>5</v>
      </c>
      <c r="E8" s="9"/>
      <c r="G8" s="8">
        <v>4</v>
      </c>
      <c r="H8" s="22">
        <f>SUM(Jan:Dec!T8)</f>
        <v>0</v>
      </c>
      <c r="I8" s="8">
        <f>SUM(Jan:Dec!U8)</f>
        <v>0</v>
      </c>
      <c r="J8" s="8">
        <f>SUM(Jan:Dec!V8)</f>
        <v>0</v>
      </c>
      <c r="K8" s="8" t="str">
        <f t="shared" si="0"/>
        <v>0</v>
      </c>
      <c r="L8" s="8">
        <f>SUM(Jan:Dec!X8)</f>
        <v>0</v>
      </c>
      <c r="M8" s="25" t="str">
        <f t="shared" si="1"/>
        <v>0</v>
      </c>
    </row>
    <row r="9" spans="2:13" x14ac:dyDescent="0.3">
      <c r="B9" s="9"/>
      <c r="C9" s="14"/>
      <c r="D9" s="10"/>
      <c r="E9" s="9"/>
      <c r="G9" s="8">
        <v>5</v>
      </c>
      <c r="H9" s="22">
        <f>SUM(Jan:Dec!T9)</f>
        <v>0</v>
      </c>
      <c r="I9" s="8">
        <f>SUM(Jan:Dec!U9)</f>
        <v>0</v>
      </c>
      <c r="J9" s="8">
        <f>SUM(Jan:Dec!V9)</f>
        <v>0</v>
      </c>
      <c r="K9" s="8" t="str">
        <f t="shared" si="0"/>
        <v>0</v>
      </c>
      <c r="L9" s="8">
        <f>SUM(Jan:Dec!X9)</f>
        <v>0</v>
      </c>
      <c r="M9" s="25" t="str">
        <f t="shared" si="1"/>
        <v>0</v>
      </c>
    </row>
    <row r="10" spans="2:13" ht="15.6" x14ac:dyDescent="0.3">
      <c r="B10" s="9"/>
      <c r="C10" s="14" t="s">
        <v>72</v>
      </c>
      <c r="D10" s="13" t="s">
        <v>16</v>
      </c>
      <c r="E10" s="9"/>
      <c r="G10" s="8">
        <v>6</v>
      </c>
      <c r="H10" s="22">
        <f>SUM(Jan:Dec!T10)</f>
        <v>0</v>
      </c>
      <c r="I10" s="8">
        <f>SUM(Jan:Dec!U10)</f>
        <v>0</v>
      </c>
      <c r="J10" s="8">
        <f>SUM(Jan:Dec!V10)</f>
        <v>0</v>
      </c>
      <c r="K10" s="8" t="str">
        <f t="shared" si="0"/>
        <v>0</v>
      </c>
      <c r="L10" s="8">
        <f>SUM(Jan:Dec!X10)</f>
        <v>0</v>
      </c>
      <c r="M10" s="25" t="str">
        <f t="shared" si="1"/>
        <v>0</v>
      </c>
    </row>
    <row r="11" spans="2:13" x14ac:dyDescent="0.3">
      <c r="B11" s="9"/>
      <c r="C11" s="14"/>
      <c r="D11" s="9"/>
      <c r="E11" s="9"/>
      <c r="G11" s="8">
        <v>7</v>
      </c>
      <c r="H11" s="22">
        <f>SUM(Jan:Dec!T11)</f>
        <v>0</v>
      </c>
      <c r="I11" s="8">
        <f>SUM(Jan:Dec!U11)</f>
        <v>0</v>
      </c>
      <c r="J11" s="8">
        <f>SUM(Jan:Dec!V11)</f>
        <v>0</v>
      </c>
      <c r="K11" s="8" t="str">
        <f t="shared" si="0"/>
        <v>0</v>
      </c>
      <c r="L11" s="8">
        <f>SUM(Jan:Dec!X11)</f>
        <v>0</v>
      </c>
      <c r="M11" s="25" t="str">
        <f t="shared" si="1"/>
        <v>0</v>
      </c>
    </row>
    <row r="12" spans="2:13" ht="15.6" x14ac:dyDescent="0.3">
      <c r="B12" s="9"/>
      <c r="C12" s="14" t="s">
        <v>39</v>
      </c>
      <c r="D12" s="11">
        <f>SUM(Jan:Dec!D12)</f>
        <v>365</v>
      </c>
      <c r="E12" s="9"/>
      <c r="G12" s="8">
        <v>8</v>
      </c>
      <c r="H12" s="22">
        <f>SUM(Jan:Dec!T12)</f>
        <v>0</v>
      </c>
      <c r="I12" s="8">
        <f>SUM(Jan:Dec!U12)</f>
        <v>0</v>
      </c>
      <c r="J12" s="8">
        <f>SUM(Jan:Dec!V12)</f>
        <v>0</v>
      </c>
      <c r="K12" s="8" t="str">
        <f t="shared" si="0"/>
        <v>0</v>
      </c>
      <c r="L12" s="8">
        <f>SUM(Jan:Dec!X12)</f>
        <v>0</v>
      </c>
      <c r="M12" s="25" t="str">
        <f t="shared" si="1"/>
        <v>0</v>
      </c>
    </row>
    <row r="13" spans="2:13" x14ac:dyDescent="0.3">
      <c r="B13" s="9"/>
      <c r="C13" s="14"/>
      <c r="D13" s="9"/>
      <c r="E13" s="9"/>
      <c r="G13" s="8">
        <v>9</v>
      </c>
      <c r="H13" s="22">
        <f>SUM(Jan:Dec!T13)</f>
        <v>0</v>
      </c>
      <c r="I13" s="8">
        <f>SUM(Jan:Dec!U13)</f>
        <v>0</v>
      </c>
      <c r="J13" s="8">
        <f>SUM(Jan:Dec!V13)</f>
        <v>0</v>
      </c>
      <c r="K13" s="8" t="str">
        <f t="shared" si="0"/>
        <v>0</v>
      </c>
      <c r="L13" s="8">
        <f>SUM(Jan:Dec!X13)</f>
        <v>0</v>
      </c>
      <c r="M13" s="25" t="str">
        <f t="shared" si="1"/>
        <v>0</v>
      </c>
    </row>
    <row r="14" spans="2:13" ht="15.6" x14ac:dyDescent="0.3">
      <c r="B14" s="9"/>
      <c r="C14" s="14" t="s">
        <v>40</v>
      </c>
      <c r="D14" s="11">
        <f>SUM(Jan:Dec!D14)</f>
        <v>52</v>
      </c>
      <c r="E14" s="9"/>
      <c r="G14" s="8">
        <v>10</v>
      </c>
      <c r="H14" s="22">
        <f>SUM(Jan:Dec!T14)</f>
        <v>0</v>
      </c>
      <c r="I14" s="8">
        <f>SUM(Jan:Dec!U14)</f>
        <v>0</v>
      </c>
      <c r="J14" s="8">
        <f>SUM(Jan:Dec!V14)</f>
        <v>0</v>
      </c>
      <c r="K14" s="8" t="str">
        <f t="shared" si="0"/>
        <v>0</v>
      </c>
      <c r="L14" s="8">
        <f>SUM(Jan:Dec!X14)</f>
        <v>0</v>
      </c>
      <c r="M14" s="25" t="str">
        <f t="shared" si="1"/>
        <v>0</v>
      </c>
    </row>
    <row r="15" spans="2:13" ht="15.6" x14ac:dyDescent="0.3">
      <c r="B15" s="9"/>
      <c r="C15" s="14" t="s">
        <v>41</v>
      </c>
      <c r="D15" s="11">
        <f>SUM(Jan:Dec!D15)</f>
        <v>52</v>
      </c>
      <c r="E15" s="9"/>
      <c r="G15" s="8">
        <v>11</v>
      </c>
      <c r="H15" s="22">
        <f>SUM(Jan:Dec!T15)</f>
        <v>0</v>
      </c>
      <c r="I15" s="8">
        <f>SUM(Jan:Dec!U15)</f>
        <v>0</v>
      </c>
      <c r="J15" s="8">
        <f>SUM(Jan:Dec!V15)</f>
        <v>0</v>
      </c>
      <c r="K15" s="8" t="str">
        <f t="shared" si="0"/>
        <v>0</v>
      </c>
      <c r="L15" s="8">
        <f>SUM(Jan:Dec!X15)</f>
        <v>0</v>
      </c>
      <c r="M15" s="25" t="str">
        <f t="shared" si="1"/>
        <v>0</v>
      </c>
    </row>
    <row r="16" spans="2:13" x14ac:dyDescent="0.3">
      <c r="B16" s="9"/>
      <c r="C16" s="14"/>
      <c r="D16" s="9"/>
      <c r="E16" s="9"/>
      <c r="G16" s="8">
        <v>12</v>
      </c>
      <c r="H16" s="22">
        <f>SUM(Jan:Dec!T16)</f>
        <v>0</v>
      </c>
      <c r="I16" s="8">
        <f>SUM(Jan:Dec!U16)</f>
        <v>0</v>
      </c>
      <c r="J16" s="8">
        <f>SUM(Jan:Dec!V16)</f>
        <v>0</v>
      </c>
      <c r="K16" s="8" t="str">
        <f t="shared" si="0"/>
        <v>0</v>
      </c>
      <c r="L16" s="8">
        <f>SUM(Jan:Dec!X16)</f>
        <v>0</v>
      </c>
      <c r="M16" s="25" t="str">
        <f t="shared" si="1"/>
        <v>0</v>
      </c>
    </row>
    <row r="17" spans="2:13" x14ac:dyDescent="0.3">
      <c r="B17" s="9"/>
      <c r="C17" s="34" t="s">
        <v>45</v>
      </c>
      <c r="D17" s="35">
        <f>MAX(I5:I35)</f>
        <v>0</v>
      </c>
      <c r="E17" s="9"/>
      <c r="G17" s="8">
        <v>13</v>
      </c>
      <c r="H17" s="22">
        <f>SUM(Jan:Dec!T17)</f>
        <v>0</v>
      </c>
      <c r="I17" s="8">
        <f>SUM(Jan:Dec!U17)</f>
        <v>0</v>
      </c>
      <c r="J17" s="8">
        <f>SUM(Jan:Dec!V17)</f>
        <v>0</v>
      </c>
      <c r="K17" s="8" t="str">
        <f t="shared" si="0"/>
        <v>0</v>
      </c>
      <c r="L17" s="8">
        <f>SUM(Jan:Dec!X17)</f>
        <v>0</v>
      </c>
      <c r="M17" s="25" t="str">
        <f t="shared" si="1"/>
        <v>0</v>
      </c>
    </row>
    <row r="18" spans="2:13" x14ac:dyDescent="0.3">
      <c r="B18" s="9"/>
      <c r="C18" s="34"/>
      <c r="D18" s="35"/>
      <c r="E18" s="9"/>
      <c r="G18" s="8">
        <v>14</v>
      </c>
      <c r="H18" s="22">
        <f>SUM(Jan:Dec!T18)</f>
        <v>0</v>
      </c>
      <c r="I18" s="8">
        <f>SUM(Jan:Dec!U18)</f>
        <v>0</v>
      </c>
      <c r="J18" s="8">
        <f>SUM(Jan:Dec!V18)</f>
        <v>0</v>
      </c>
      <c r="K18" s="8" t="str">
        <f t="shared" si="0"/>
        <v>0</v>
      </c>
      <c r="L18" s="8">
        <f>SUM(Jan:Dec!X18)</f>
        <v>0</v>
      </c>
      <c r="M18" s="25" t="str">
        <f t="shared" si="1"/>
        <v>0</v>
      </c>
    </row>
    <row r="19" spans="2:13" x14ac:dyDescent="0.3">
      <c r="B19" s="9"/>
      <c r="C19" s="14"/>
      <c r="D19" s="9"/>
      <c r="E19" s="9"/>
      <c r="G19" s="8">
        <v>15</v>
      </c>
      <c r="H19" s="22">
        <f>SUM(Jan:Dec!T19)</f>
        <v>0</v>
      </c>
      <c r="I19" s="8">
        <f>SUM(Jan:Dec!U19)</f>
        <v>0</v>
      </c>
      <c r="J19" s="8">
        <f>SUM(Jan:Dec!V19)</f>
        <v>0</v>
      </c>
      <c r="K19" s="8" t="str">
        <f t="shared" si="0"/>
        <v>0</v>
      </c>
      <c r="L19" s="8">
        <f>SUM(Jan:Dec!X19)</f>
        <v>0</v>
      </c>
      <c r="M19" s="25" t="str">
        <f t="shared" si="1"/>
        <v>0</v>
      </c>
    </row>
    <row r="20" spans="2:13" ht="14.4" customHeight="1" x14ac:dyDescent="0.3">
      <c r="B20" s="9"/>
      <c r="C20" s="36" t="s">
        <v>46</v>
      </c>
      <c r="D20" s="35">
        <f>MIN(I8:I38)</f>
        <v>0</v>
      </c>
      <c r="E20" s="9"/>
      <c r="G20" s="8">
        <v>16</v>
      </c>
      <c r="H20" s="22">
        <f>SUM(Jan:Dec!T20)</f>
        <v>0</v>
      </c>
      <c r="I20" s="8">
        <f>SUM(Jan:Dec!U20)</f>
        <v>0</v>
      </c>
      <c r="J20" s="8">
        <f>SUM(Jan:Dec!V20)</f>
        <v>0</v>
      </c>
      <c r="K20" s="8" t="str">
        <f t="shared" si="0"/>
        <v>0</v>
      </c>
      <c r="L20" s="8">
        <f>SUM(Jan:Dec!X20)</f>
        <v>0</v>
      </c>
      <c r="M20" s="25" t="str">
        <f t="shared" si="1"/>
        <v>0</v>
      </c>
    </row>
    <row r="21" spans="2:13" ht="14.4" customHeight="1" x14ac:dyDescent="0.3">
      <c r="B21" s="9"/>
      <c r="C21" s="36"/>
      <c r="D21" s="35"/>
      <c r="E21" s="9"/>
      <c r="G21" s="8">
        <v>17</v>
      </c>
      <c r="H21" s="22">
        <f>SUM(Jan:Dec!T21)</f>
        <v>0</v>
      </c>
      <c r="I21" s="8">
        <f>SUM(Jan:Dec!U21)</f>
        <v>0</v>
      </c>
      <c r="J21" s="8">
        <f>SUM(Jan:Dec!V21)</f>
        <v>0</v>
      </c>
      <c r="K21" s="8" t="str">
        <f t="shared" si="0"/>
        <v>0</v>
      </c>
      <c r="L21" s="8">
        <f>SUM(Jan:Dec!X21)</f>
        <v>0</v>
      </c>
      <c r="M21" s="25" t="str">
        <f t="shared" si="1"/>
        <v>0</v>
      </c>
    </row>
    <row r="22" spans="2:13" x14ac:dyDescent="0.3">
      <c r="B22" s="9"/>
      <c r="C22" s="14"/>
      <c r="D22" s="9"/>
      <c r="E22" s="9"/>
      <c r="G22" s="8">
        <v>18</v>
      </c>
      <c r="H22" s="22">
        <f>SUM(Jan:Dec!T22)</f>
        <v>0</v>
      </c>
      <c r="I22" s="8">
        <f>SUM(Jan:Dec!U22)</f>
        <v>0</v>
      </c>
      <c r="J22" s="8">
        <f>SUM(Jan:Dec!V22)</f>
        <v>0</v>
      </c>
      <c r="K22" s="8" t="str">
        <f t="shared" si="0"/>
        <v>0</v>
      </c>
      <c r="L22" s="8">
        <f>SUM(Jan:Dec!X22)</f>
        <v>0</v>
      </c>
      <c r="M22" s="25" t="str">
        <f t="shared" si="1"/>
        <v>0</v>
      </c>
    </row>
    <row r="23" spans="2:13" ht="15.6" x14ac:dyDescent="0.3">
      <c r="B23" s="9"/>
      <c r="C23" s="14" t="s">
        <v>47</v>
      </c>
      <c r="D23" s="11" t="str">
        <f>IF(I36&gt;H36,"Yes","No")</f>
        <v>No</v>
      </c>
      <c r="E23" s="9"/>
      <c r="G23" s="8">
        <v>19</v>
      </c>
      <c r="H23" s="22">
        <f>SUM(Jan:Dec!T23)</f>
        <v>0</v>
      </c>
      <c r="I23" s="8">
        <f>SUM(Jan:Dec!U23)</f>
        <v>0</v>
      </c>
      <c r="J23" s="8">
        <f>SUM(Jan:Dec!V23)</f>
        <v>0</v>
      </c>
      <c r="K23" s="8" t="str">
        <f t="shared" si="0"/>
        <v>0</v>
      </c>
      <c r="L23" s="8">
        <f>SUM(Jan:Dec!X23)</f>
        <v>0</v>
      </c>
      <c r="M23" s="25" t="str">
        <f t="shared" si="1"/>
        <v>0</v>
      </c>
    </row>
    <row r="24" spans="2:13" x14ac:dyDescent="0.3">
      <c r="B24" s="9"/>
      <c r="C24" s="14"/>
      <c r="D24" s="9"/>
      <c r="E24" s="9"/>
      <c r="G24" s="8">
        <v>20</v>
      </c>
      <c r="H24" s="22">
        <f>SUM(Jan:Dec!T24)</f>
        <v>0</v>
      </c>
      <c r="I24" s="8">
        <f>SUM(Jan:Dec!U24)</f>
        <v>0</v>
      </c>
      <c r="J24" s="8">
        <f>SUM(Jan:Dec!V24)</f>
        <v>0</v>
      </c>
      <c r="K24" s="8" t="str">
        <f t="shared" si="0"/>
        <v>0</v>
      </c>
      <c r="L24" s="8">
        <f>SUM(Jan:Dec!X24)</f>
        <v>0</v>
      </c>
      <c r="M24" s="25" t="str">
        <f t="shared" si="1"/>
        <v>0</v>
      </c>
    </row>
    <row r="25" spans="2:13" ht="15.6" x14ac:dyDescent="0.3">
      <c r="B25" s="9"/>
      <c r="C25" s="14" t="s">
        <v>48</v>
      </c>
      <c r="D25" s="11">
        <f>I36</f>
        <v>0</v>
      </c>
      <c r="E25" s="9"/>
      <c r="G25" s="8">
        <v>21</v>
      </c>
      <c r="H25" s="22">
        <f>SUM(Jan:Dec!T25)</f>
        <v>0</v>
      </c>
      <c r="I25" s="8">
        <f>SUM(Jan:Dec!U25)</f>
        <v>0</v>
      </c>
      <c r="J25" s="8">
        <f>SUM(Jan:Dec!V25)</f>
        <v>0</v>
      </c>
      <c r="K25" s="8" t="str">
        <f t="shared" si="0"/>
        <v>0</v>
      </c>
      <c r="L25" s="8">
        <f>SUM(Jan:Dec!X25)</f>
        <v>0</v>
      </c>
      <c r="M25" s="25" t="str">
        <f t="shared" si="1"/>
        <v>0</v>
      </c>
    </row>
    <row r="26" spans="2:13" x14ac:dyDescent="0.3">
      <c r="B26" s="9"/>
      <c r="C26" s="14"/>
      <c r="D26" s="9"/>
      <c r="E26" s="9"/>
      <c r="G26" s="8">
        <v>22</v>
      </c>
      <c r="H26" s="22">
        <f>SUM(Jan:Dec!T26)</f>
        <v>0</v>
      </c>
      <c r="I26" s="8">
        <f>SUM(Jan:Dec!U26)</f>
        <v>0</v>
      </c>
      <c r="J26" s="8">
        <f>SUM(Jan:Dec!V26)</f>
        <v>0</v>
      </c>
      <c r="K26" s="8" t="str">
        <f t="shared" si="0"/>
        <v>0</v>
      </c>
      <c r="L26" s="8">
        <f>SUM(Jan:Dec!X26)</f>
        <v>0</v>
      </c>
      <c r="M26" s="25" t="str">
        <f t="shared" si="1"/>
        <v>0</v>
      </c>
    </row>
    <row r="27" spans="2:13" ht="15.6" x14ac:dyDescent="0.3">
      <c r="B27" s="9"/>
      <c r="C27" s="14" t="s">
        <v>49</v>
      </c>
      <c r="D27" s="29">
        <f>IFERROR(AVERAGE(I5:I35),"0")</f>
        <v>0</v>
      </c>
      <c r="E27" s="9"/>
      <c r="G27" s="8">
        <v>23</v>
      </c>
      <c r="H27" s="22">
        <f>SUM(Jan:Dec!T27)</f>
        <v>0</v>
      </c>
      <c r="I27" s="8">
        <f>SUM(Jan:Dec!U27)</f>
        <v>0</v>
      </c>
      <c r="J27" s="8">
        <f>SUM(Jan:Dec!V27)</f>
        <v>0</v>
      </c>
      <c r="K27" s="8" t="str">
        <f t="shared" si="0"/>
        <v>0</v>
      </c>
      <c r="L27" s="8">
        <f>SUM(Jan:Dec!X27)</f>
        <v>0</v>
      </c>
      <c r="M27" s="25" t="str">
        <f t="shared" si="1"/>
        <v>0</v>
      </c>
    </row>
    <row r="28" spans="2:13" ht="15.6" x14ac:dyDescent="0.3">
      <c r="B28" s="9"/>
      <c r="C28" s="14" t="s">
        <v>50</v>
      </c>
      <c r="D28" s="11">
        <f>SUM(Jan:Dec!D28)</f>
        <v>0</v>
      </c>
      <c r="E28" s="9"/>
      <c r="G28" s="8">
        <v>24</v>
      </c>
      <c r="H28" s="22">
        <f>SUM(Jan:Dec!T28)</f>
        <v>0</v>
      </c>
      <c r="I28" s="8">
        <f>SUM(Jan:Dec!U28)</f>
        <v>0</v>
      </c>
      <c r="J28" s="8">
        <f>SUM(Jan:Dec!V28)</f>
        <v>0</v>
      </c>
      <c r="K28" s="8" t="str">
        <f t="shared" si="0"/>
        <v>0</v>
      </c>
      <c r="L28" s="8">
        <f>SUM(Jan:Dec!X28)</f>
        <v>0</v>
      </c>
      <c r="M28" s="25" t="str">
        <f t="shared" si="1"/>
        <v>0</v>
      </c>
    </row>
    <row r="29" spans="2:13" ht="15.6" x14ac:dyDescent="0.3">
      <c r="B29" s="9"/>
      <c r="C29" s="14" t="s">
        <v>51</v>
      </c>
      <c r="D29" s="11">
        <f>SUM(Jan:Dec!D29)</f>
        <v>0</v>
      </c>
      <c r="E29" s="9"/>
      <c r="G29" s="8">
        <v>25</v>
      </c>
      <c r="H29" s="22">
        <f>SUM(Jan:Dec!T29)</f>
        <v>0</v>
      </c>
      <c r="I29" s="8">
        <f>SUM(Jan:Dec!U29)</f>
        <v>0</v>
      </c>
      <c r="J29" s="8">
        <f>SUM(Jan:Dec!V29)</f>
        <v>0</v>
      </c>
      <c r="K29" s="8" t="str">
        <f t="shared" si="0"/>
        <v>0</v>
      </c>
      <c r="L29" s="8">
        <f>SUM(Jan:Dec!X29)</f>
        <v>0</v>
      </c>
      <c r="M29" s="25" t="str">
        <f t="shared" si="1"/>
        <v>0</v>
      </c>
    </row>
    <row r="30" spans="2:13" ht="15.6" x14ac:dyDescent="0.3">
      <c r="B30" s="9"/>
      <c r="C30" s="14" t="s">
        <v>52</v>
      </c>
      <c r="D30" s="11">
        <f>SUM(Jan:Dec!D30)</f>
        <v>0</v>
      </c>
      <c r="E30" s="9"/>
      <c r="G30" s="8">
        <v>26</v>
      </c>
      <c r="H30" s="22">
        <f>SUM(Jan:Dec!T30)</f>
        <v>0</v>
      </c>
      <c r="I30" s="8">
        <f>SUM(Jan:Dec!U30)</f>
        <v>0</v>
      </c>
      <c r="J30" s="8">
        <f>SUM(Jan:Dec!V30)</f>
        <v>0</v>
      </c>
      <c r="K30" s="8" t="str">
        <f t="shared" si="0"/>
        <v>0</v>
      </c>
      <c r="L30" s="8">
        <f>SUM(Jan:Dec!X30)</f>
        <v>0</v>
      </c>
      <c r="M30" s="25" t="str">
        <f t="shared" si="1"/>
        <v>0</v>
      </c>
    </row>
    <row r="31" spans="2:13" x14ac:dyDescent="0.3">
      <c r="B31" s="9"/>
      <c r="C31" s="14"/>
      <c r="D31" s="9"/>
      <c r="E31" s="9"/>
      <c r="G31" s="8">
        <v>27</v>
      </c>
      <c r="H31" s="22">
        <f>SUM(Jan:Dec!T31)</f>
        <v>0</v>
      </c>
      <c r="I31" s="8">
        <f>SUM(Jan:Dec!U31)</f>
        <v>0</v>
      </c>
      <c r="J31" s="8">
        <f>SUM(Jan:Dec!V31)</f>
        <v>0</v>
      </c>
      <c r="K31" s="8" t="str">
        <f t="shared" si="0"/>
        <v>0</v>
      </c>
      <c r="L31" s="8">
        <f>SUM(Jan:Dec!X31)</f>
        <v>0</v>
      </c>
      <c r="M31" s="25" t="str">
        <f t="shared" si="1"/>
        <v>0</v>
      </c>
    </row>
    <row r="32" spans="2:13" ht="15.6" x14ac:dyDescent="0.3">
      <c r="B32" s="9"/>
      <c r="C32" s="14" t="s">
        <v>53</v>
      </c>
      <c r="D32" s="12">
        <f>SUM(D28:D30)</f>
        <v>0</v>
      </c>
      <c r="E32" s="9"/>
      <c r="G32" s="8">
        <v>28</v>
      </c>
      <c r="H32" s="22">
        <f>SUM(Jan:Dec!T32)</f>
        <v>0</v>
      </c>
      <c r="I32" s="8">
        <f>SUM(Jan:Dec!U32)</f>
        <v>0</v>
      </c>
      <c r="J32" s="8">
        <f>SUM(Jan:Dec!V32)</f>
        <v>0</v>
      </c>
      <c r="K32" s="8" t="str">
        <f t="shared" si="0"/>
        <v>0</v>
      </c>
      <c r="L32" s="8">
        <f>SUM(Jan:Dec!X32)</f>
        <v>0</v>
      </c>
      <c r="M32" s="25" t="str">
        <f t="shared" si="1"/>
        <v>0</v>
      </c>
    </row>
    <row r="33" spans="2:13" ht="15.6" x14ac:dyDescent="0.3">
      <c r="B33" s="9"/>
      <c r="C33" s="14" t="s">
        <v>54</v>
      </c>
      <c r="D33" s="30">
        <v>5000</v>
      </c>
      <c r="E33" s="9"/>
      <c r="G33" s="8">
        <v>29</v>
      </c>
      <c r="H33" s="22">
        <f>SUM(Jan:Dec!T33)</f>
        <v>0</v>
      </c>
      <c r="I33" s="8">
        <f>SUM(Jan:Dec!U33)</f>
        <v>0</v>
      </c>
      <c r="J33" s="8">
        <f>SUM(Jan:Dec!V33)</f>
        <v>0</v>
      </c>
      <c r="K33" s="8" t="str">
        <f t="shared" si="0"/>
        <v>0</v>
      </c>
      <c r="L33" s="8">
        <f>SUM(Jan:Dec!X33)</f>
        <v>0</v>
      </c>
      <c r="M33" s="25" t="str">
        <f t="shared" si="1"/>
        <v>0</v>
      </c>
    </row>
    <row r="34" spans="2:13" ht="15.6" x14ac:dyDescent="0.3">
      <c r="B34" s="9"/>
      <c r="C34" s="14" t="s">
        <v>55</v>
      </c>
      <c r="D34" s="12">
        <f>D32-D33</f>
        <v>-5000</v>
      </c>
      <c r="E34" s="9"/>
      <c r="G34" s="8">
        <v>30</v>
      </c>
      <c r="H34" s="22">
        <f>SUM(Jan:Dec!T34)</f>
        <v>0</v>
      </c>
      <c r="I34" s="8">
        <f>SUM(Jan:Dec!U34)</f>
        <v>0</v>
      </c>
      <c r="J34" s="8">
        <f>SUM(Jan:Dec!V34)</f>
        <v>0</v>
      </c>
      <c r="K34" s="8" t="str">
        <f t="shared" si="0"/>
        <v>0</v>
      </c>
      <c r="L34" s="8">
        <f>SUM(Jan:Dec!X34)</f>
        <v>0</v>
      </c>
      <c r="M34" s="25" t="str">
        <f t="shared" si="1"/>
        <v>0</v>
      </c>
    </row>
    <row r="35" spans="2:13" ht="15.6" x14ac:dyDescent="0.3">
      <c r="B35" s="9"/>
      <c r="C35" s="14" t="s">
        <v>56</v>
      </c>
      <c r="D35" s="28">
        <f>IFERROR((D32-D33)/D33,"0")</f>
        <v>-1</v>
      </c>
      <c r="E35" s="9"/>
      <c r="G35" s="8">
        <v>31</v>
      </c>
      <c r="H35" s="22">
        <f>SUM(Jan:Dec!T35)</f>
        <v>0</v>
      </c>
      <c r="I35" s="8">
        <f>SUM(Jan:Dec!U35)</f>
        <v>0</v>
      </c>
      <c r="J35" s="8">
        <f>SUM(Jan:Dec!V35)</f>
        <v>0</v>
      </c>
      <c r="K35" s="8" t="str">
        <f t="shared" si="0"/>
        <v>0</v>
      </c>
      <c r="L35" s="8">
        <f>SUM(Jan:Dec!X35)</f>
        <v>0</v>
      </c>
      <c r="M35" s="25" t="str">
        <f t="shared" si="1"/>
        <v>0</v>
      </c>
    </row>
    <row r="36" spans="2:13" x14ac:dyDescent="0.3">
      <c r="B36" s="9"/>
      <c r="C36" s="14"/>
      <c r="D36" s="9"/>
      <c r="E36" s="9"/>
      <c r="G36" s="26" t="s">
        <v>69</v>
      </c>
      <c r="H36" s="26">
        <f t="shared" ref="H36:M36" si="2">SUM(H5:H35)</f>
        <v>0</v>
      </c>
      <c r="I36" s="26">
        <f t="shared" si="2"/>
        <v>0</v>
      </c>
      <c r="J36" s="26">
        <f t="shared" si="2"/>
        <v>0</v>
      </c>
      <c r="K36" s="26" t="str">
        <f t="shared" ref="K36" si="3">IFERROR(I36/J36,"0")</f>
        <v>0</v>
      </c>
      <c r="L36" s="26">
        <f t="shared" si="2"/>
        <v>0</v>
      </c>
      <c r="M36" s="26">
        <f t="shared" si="2"/>
        <v>0</v>
      </c>
    </row>
  </sheetData>
  <mergeCells count="6">
    <mergeCell ref="B2:E2"/>
    <mergeCell ref="H3:M3"/>
    <mergeCell ref="C17:C18"/>
    <mergeCell ref="D17:D18"/>
    <mergeCell ref="C20:C21"/>
    <mergeCell ref="D20:D21"/>
  </mergeCells>
  <conditionalFormatting sqref="D23">
    <cfRule type="cellIs" dxfId="6" priority="1" operator="equal">
      <formula>"No"</formula>
    </cfRule>
    <cfRule type="cellIs" dxfId="5" priority="2" operator="equal">
      <formula>"Yes"</formula>
    </cfRule>
  </conditionalFormatting>
  <conditionalFormatting sqref="H36:J36 L36:M36">
    <cfRule type="expression" dxfId="4" priority="3">
      <formula>#REF!&lt;&gt;""</formula>
    </cfRule>
    <cfRule type="expression" dxfId="3" priority="4">
      <formula>#REF!&lt;&gt;""</formula>
    </cfRule>
    <cfRule type="expression" dxfId="2" priority="5">
      <formula>#REF!&lt;&gt;""</formula>
    </cfRule>
    <cfRule type="expression" dxfId="1" priority="6">
      <formula>#REF!="Sun"</formula>
    </cfRule>
    <cfRule type="expression" dxfId="0" priority="7">
      <formula>#REF!="Sat"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A51ACC-31A6-4B6C-B0F1-6B5AAEE4F399}">
          <x14:formula1>
            <xm:f>Sheet1!$D$3:$D$15</xm:f>
          </x14:formula1>
          <xm:sqref>D4</xm:sqref>
        </x14:dataValidation>
        <x14:dataValidation type="list" allowBlank="1" showInputMessage="1" showErrorMessage="1" xr:uid="{9F6E38D7-7738-4D95-AA6A-F0D606AD58F9}">
          <x14:formula1>
            <xm:f>Sheet1!$E$3:$E$15</xm:f>
          </x14:formula1>
          <xm:sqref>D6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Consolidated</vt:lpstr>
    </vt:vector>
  </TitlesOfParts>
  <Company>Lalit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</dc:creator>
  <cp:lastModifiedBy>Lalit</cp:lastModifiedBy>
  <dcterms:created xsi:type="dcterms:W3CDTF">2026-08-14T06:59:54Z</dcterms:created>
  <dcterms:modified xsi:type="dcterms:W3CDTF">2026-09-05T04:32:35Z</dcterms:modified>
</cp:coreProperties>
</file>